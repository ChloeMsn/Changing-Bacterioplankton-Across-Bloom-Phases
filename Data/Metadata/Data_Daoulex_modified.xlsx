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ason\Desktop\DAOULEX\00_METADATA\"/>
    </mc:Choice>
  </mc:AlternateContent>
  <xr:revisionPtr revIDLastSave="0" documentId="13_ncr:1_{A8347E38-D4F1-4968-805D-B717D91277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  <sheet name="Daoulex 16S" sheetId="2" r:id="rId2"/>
    <sheet name="Daoulex 18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7" i="3" l="1"/>
  <c r="J146" i="3"/>
  <c r="F146" i="3"/>
  <c r="J145" i="3"/>
  <c r="F145" i="3"/>
  <c r="J144" i="3"/>
  <c r="J143" i="3"/>
  <c r="J142" i="3"/>
  <c r="J141" i="3"/>
  <c r="J140" i="3"/>
  <c r="J139" i="3"/>
  <c r="J138" i="3"/>
  <c r="J137" i="3"/>
  <c r="J136" i="3"/>
  <c r="F136" i="3"/>
  <c r="J135" i="3"/>
  <c r="J134" i="3"/>
  <c r="J133" i="3"/>
  <c r="J132" i="3"/>
  <c r="J131" i="3"/>
  <c r="F131" i="3"/>
  <c r="J130" i="3"/>
  <c r="F130" i="3"/>
  <c r="J129" i="3"/>
  <c r="J128" i="3"/>
  <c r="J127" i="3"/>
  <c r="J126" i="3"/>
  <c r="J125" i="3"/>
  <c r="F125" i="3"/>
  <c r="J124" i="3"/>
  <c r="F124" i="3"/>
  <c r="J123" i="3"/>
  <c r="J122" i="3"/>
  <c r="J121" i="3"/>
  <c r="J120" i="3"/>
  <c r="J119" i="3"/>
  <c r="F119" i="3"/>
  <c r="J118" i="3"/>
  <c r="F118" i="3"/>
  <c r="J117" i="3"/>
  <c r="J116" i="3"/>
  <c r="J115" i="3"/>
  <c r="J114" i="3"/>
  <c r="J113" i="3"/>
  <c r="F113" i="3"/>
  <c r="J112" i="3"/>
  <c r="F112" i="3"/>
  <c r="J111" i="3"/>
  <c r="J110" i="3"/>
  <c r="J109" i="3"/>
  <c r="J108" i="3"/>
  <c r="J107" i="3"/>
  <c r="F107" i="3"/>
  <c r="J106" i="3"/>
  <c r="F106" i="3"/>
  <c r="J105" i="3"/>
  <c r="J104" i="3"/>
  <c r="J103" i="3"/>
  <c r="J102" i="3"/>
  <c r="J101" i="3"/>
  <c r="F101" i="3"/>
  <c r="J100" i="3"/>
  <c r="F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47" i="2"/>
  <c r="J146" i="2"/>
  <c r="F146" i="2"/>
  <c r="J145" i="2"/>
  <c r="F145" i="2"/>
  <c r="J144" i="2"/>
  <c r="J143" i="2"/>
  <c r="J142" i="2"/>
  <c r="J141" i="2"/>
  <c r="J140" i="2"/>
  <c r="J139" i="2"/>
  <c r="J138" i="2"/>
  <c r="J137" i="2"/>
  <c r="J136" i="2"/>
  <c r="F136" i="2"/>
  <c r="J135" i="2"/>
  <c r="J134" i="2"/>
  <c r="J133" i="2"/>
  <c r="J132" i="2"/>
  <c r="J131" i="2"/>
  <c r="F131" i="2"/>
  <c r="J130" i="2"/>
  <c r="F130" i="2"/>
  <c r="J129" i="2"/>
  <c r="J128" i="2"/>
  <c r="J127" i="2"/>
  <c r="J126" i="2"/>
  <c r="J125" i="2"/>
  <c r="F125" i="2"/>
  <c r="J124" i="2"/>
  <c r="F124" i="2"/>
  <c r="J123" i="2"/>
  <c r="J122" i="2"/>
  <c r="J121" i="2"/>
  <c r="J120" i="2"/>
  <c r="J119" i="2"/>
  <c r="F119" i="2"/>
  <c r="J118" i="2"/>
  <c r="F118" i="2"/>
  <c r="J117" i="2"/>
  <c r="J116" i="2"/>
  <c r="J115" i="2"/>
  <c r="J114" i="2"/>
  <c r="J113" i="2"/>
  <c r="F113" i="2"/>
  <c r="J112" i="2"/>
  <c r="F112" i="2"/>
  <c r="J111" i="2"/>
  <c r="J110" i="2"/>
  <c r="J109" i="2"/>
  <c r="J108" i="2"/>
  <c r="J107" i="2"/>
  <c r="F107" i="2"/>
  <c r="J106" i="2"/>
  <c r="F106" i="2"/>
  <c r="J105" i="2"/>
  <c r="J104" i="2"/>
  <c r="J103" i="2"/>
  <c r="J102" i="2"/>
  <c r="J101" i="2"/>
  <c r="F101" i="2"/>
  <c r="J100" i="2"/>
  <c r="F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<sst xmlns="http://schemas.openxmlformats.org/spreadsheetml/2006/main" count="967" uniqueCount="379">
  <si>
    <t>Sampling Date</t>
  </si>
  <si>
    <t>Time from sunrise</t>
  </si>
  <si>
    <t>Progression throught the bloom</t>
  </si>
  <si>
    <t>Time of the sampling (decimal hours)</t>
  </si>
  <si>
    <t>Tidal coefficient</t>
  </si>
  <si>
    <t>Ammonium (µM)</t>
  </si>
  <si>
    <t>Nitrogen oxide  (µM)</t>
  </si>
  <si>
    <t>Phosphate (µM)</t>
  </si>
  <si>
    <t>Silicate  (µM)</t>
  </si>
  <si>
    <t>Mignonne outflow (m^3.s^-1)</t>
  </si>
  <si>
    <t>Temperature (°C)</t>
  </si>
  <si>
    <t>Salinity</t>
  </si>
  <si>
    <t>Irradiance (W m^-2)</t>
  </si>
  <si>
    <t>A. minutum Cells/L</t>
  </si>
  <si>
    <t>Volume filtered (L)</t>
  </si>
  <si>
    <t>Number of total reads</t>
  </si>
  <si>
    <t>Number of mapped reads</t>
  </si>
  <si>
    <t>Alignment percentage</t>
  </si>
  <si>
    <t>Proportion of transcript &gt; 40 reads</t>
  </si>
  <si>
    <t>15/07/2013</t>
  </si>
  <si>
    <t>18/07/2013</t>
  </si>
  <si>
    <t>27/06/2014</t>
  </si>
  <si>
    <t>25/07/2014</t>
  </si>
  <si>
    <t>14/08/2014</t>
  </si>
  <si>
    <t>15/06/2015</t>
  </si>
  <si>
    <t>19/06/2015</t>
  </si>
  <si>
    <t>23/07/2015</t>
  </si>
  <si>
    <t>Nom Sequençage 16S</t>
  </si>
  <si>
    <t>Réplicat</t>
  </si>
  <si>
    <t>Fraction (taille du filtre)</t>
  </si>
  <si>
    <t>Date de prélèvement</t>
  </si>
  <si>
    <t>Volume filtré (L)</t>
  </si>
  <si>
    <t>Date extraction ADN</t>
  </si>
  <si>
    <t>Concentration ADN (ng/µL)</t>
  </si>
  <si>
    <t>Volume ADN (µL)</t>
  </si>
  <si>
    <t>Quantité ADN (ng)</t>
  </si>
  <si>
    <t>DAOUELEX 2013</t>
  </si>
  <si>
    <t>DA13/1</t>
  </si>
  <si>
    <t>réplicat A</t>
  </si>
  <si>
    <t>20 µM</t>
  </si>
  <si>
    <t>DA13/3</t>
  </si>
  <si>
    <t>DA13/5</t>
  </si>
  <si>
    <t>DA13/7</t>
  </si>
  <si>
    <t>DA13/9</t>
  </si>
  <si>
    <t>DA13/11</t>
  </si>
  <si>
    <t>DA13/13</t>
  </si>
  <si>
    <t>DA13/15</t>
  </si>
  <si>
    <t>DA13/17</t>
  </si>
  <si>
    <t>DA13/19</t>
  </si>
  <si>
    <t>DA13/21</t>
  </si>
  <si>
    <t>DA13/23</t>
  </si>
  <si>
    <t>3 µM</t>
  </si>
  <si>
    <t>DA13/25</t>
  </si>
  <si>
    <t>DA13/27</t>
  </si>
  <si>
    <t>DA13/29</t>
  </si>
  <si>
    <t>DA13/31</t>
  </si>
  <si>
    <t>DA13/33</t>
  </si>
  <si>
    <t>DA13/35</t>
  </si>
  <si>
    <t>DA13/37</t>
  </si>
  <si>
    <t>DA13/39</t>
  </si>
  <si>
    <t>DA13/41</t>
  </si>
  <si>
    <t>DA13/43</t>
  </si>
  <si>
    <t>DA13/45</t>
  </si>
  <si>
    <t>0,2 µM</t>
  </si>
  <si>
    <t>DA13/46</t>
  </si>
  <si>
    <t>DA13/47</t>
  </si>
  <si>
    <t>DA13/48</t>
  </si>
  <si>
    <t>DA13/49</t>
  </si>
  <si>
    <t>DA13/50</t>
  </si>
  <si>
    <t>DA13/51</t>
  </si>
  <si>
    <t>DA13/52</t>
  </si>
  <si>
    <t>DA13/53</t>
  </si>
  <si>
    <t>DA13/54</t>
  </si>
  <si>
    <t>DAOULEX 2014</t>
  </si>
  <si>
    <t>DA14/55</t>
  </si>
  <si>
    <t>DA14/57</t>
  </si>
  <si>
    <t>DA14/59</t>
  </si>
  <si>
    <t>DA14/61</t>
  </si>
  <si>
    <t>DA14/63</t>
  </si>
  <si>
    <t>DA14/65</t>
  </si>
  <si>
    <t>DA14/67</t>
  </si>
  <si>
    <t>DA14/69</t>
  </si>
  <si>
    <t>DA14/71</t>
  </si>
  <si>
    <t>DA14/73</t>
  </si>
  <si>
    <t>DA14/75</t>
  </si>
  <si>
    <t>DA14/77</t>
  </si>
  <si>
    <t>DA14/79</t>
  </si>
  <si>
    <t>DA14/81</t>
  </si>
  <si>
    <t>DA14/83</t>
  </si>
  <si>
    <t>DA14/85</t>
  </si>
  <si>
    <t>DA14/87</t>
  </si>
  <si>
    <t>DA14/89</t>
  </si>
  <si>
    <t>DA14/91</t>
  </si>
  <si>
    <t>DA14/93</t>
  </si>
  <si>
    <t>DA14/95</t>
  </si>
  <si>
    <t>DA14/97</t>
  </si>
  <si>
    <t>DA14/99</t>
  </si>
  <si>
    <t>DA14/101</t>
  </si>
  <si>
    <t>DA14/103</t>
  </si>
  <si>
    <t>DA14/105</t>
  </si>
  <si>
    <t>DA14/107</t>
  </si>
  <si>
    <t>DA14/109</t>
  </si>
  <si>
    <t>DA14/111</t>
  </si>
  <si>
    <t>DA14/113</t>
  </si>
  <si>
    <t>DA14/115</t>
  </si>
  <si>
    <t>DA14/117</t>
  </si>
  <si>
    <t>DA14/119</t>
  </si>
  <si>
    <t>DA14/121</t>
  </si>
  <si>
    <t>DA14/123</t>
  </si>
  <si>
    <t>DA14/125</t>
  </si>
  <si>
    <t>DA14/127</t>
  </si>
  <si>
    <t>DA14/129</t>
  </si>
  <si>
    <t>DA14/131</t>
  </si>
  <si>
    <t>DA14/133</t>
  </si>
  <si>
    <t>DA14/135</t>
  </si>
  <si>
    <t>DA14/137</t>
  </si>
  <si>
    <t>DA14/139</t>
  </si>
  <si>
    <t>DA14/141</t>
  </si>
  <si>
    <t>DA14/143</t>
  </si>
  <si>
    <t>DA14/144</t>
  </si>
  <si>
    <t>DA14/145</t>
  </si>
  <si>
    <t>DA14/146</t>
  </si>
  <si>
    <t>DA14/147</t>
  </si>
  <si>
    <t>DA14/148</t>
  </si>
  <si>
    <t>DA14/149</t>
  </si>
  <si>
    <t>DA14/150</t>
  </si>
  <si>
    <t>DA14/151</t>
  </si>
  <si>
    <t>DA14/152</t>
  </si>
  <si>
    <t>DA14/153</t>
  </si>
  <si>
    <t>DA14/154</t>
  </si>
  <si>
    <t>DA14/155</t>
  </si>
  <si>
    <t>DA14/156</t>
  </si>
  <si>
    <t>DA14/158</t>
  </si>
  <si>
    <t>DA14/159</t>
  </si>
  <si>
    <t>DA14/160</t>
  </si>
  <si>
    <t>DA14/161</t>
  </si>
  <si>
    <t>DA14/162</t>
  </si>
  <si>
    <t>DA14/163</t>
  </si>
  <si>
    <t>DA14/164</t>
  </si>
  <si>
    <t>DA14/165</t>
  </si>
  <si>
    <t>DAOULEX 2015</t>
  </si>
  <si>
    <t>DA15/01</t>
  </si>
  <si>
    <t>20 µm</t>
  </si>
  <si>
    <t>DA15/02</t>
  </si>
  <si>
    <t>3 µm</t>
  </si>
  <si>
    <t>DA15/03</t>
  </si>
  <si>
    <t>0.2 µm</t>
  </si>
  <si>
    <t>DA15/04</t>
  </si>
  <si>
    <t>DA15/05</t>
  </si>
  <si>
    <t>DA15/06</t>
  </si>
  <si>
    <t>DA15/07</t>
  </si>
  <si>
    <t>DA15/08</t>
  </si>
  <si>
    <t>DA15/09</t>
  </si>
  <si>
    <t>DA15/10</t>
  </si>
  <si>
    <t>DA15/11</t>
  </si>
  <si>
    <t>DA15/12</t>
  </si>
  <si>
    <t>DA15/13</t>
  </si>
  <si>
    <t>DA15/14</t>
  </si>
  <si>
    <t>DA15/15</t>
  </si>
  <si>
    <t>DA15/16</t>
  </si>
  <si>
    <t>DA15/17</t>
  </si>
  <si>
    <t>DA15/18</t>
  </si>
  <si>
    <t>DA15/19</t>
  </si>
  <si>
    <t>DA15/20</t>
  </si>
  <si>
    <t>DA15/21</t>
  </si>
  <si>
    <t>DA15/22</t>
  </si>
  <si>
    <t>DA15/23</t>
  </si>
  <si>
    <t>DA15/24</t>
  </si>
  <si>
    <t>DA15/25</t>
  </si>
  <si>
    <t>DA15/26</t>
  </si>
  <si>
    <t>DA15/27</t>
  </si>
  <si>
    <t>DA15/28</t>
  </si>
  <si>
    <t>DA15/29</t>
  </si>
  <si>
    <t>DA15/30</t>
  </si>
  <si>
    <t>DA15/31</t>
  </si>
  <si>
    <t>DA15/32</t>
  </si>
  <si>
    <t>DA15/33</t>
  </si>
  <si>
    <t>DA15/34</t>
  </si>
  <si>
    <t>DA15/35</t>
  </si>
  <si>
    <t>DA15/36</t>
  </si>
  <si>
    <t>DA15/37</t>
  </si>
  <si>
    <t>DA15/38</t>
  </si>
  <si>
    <t>DA15/39</t>
  </si>
  <si>
    <t>DA15/40</t>
  </si>
  <si>
    <t>DA15/41</t>
  </si>
  <si>
    <t>DA15/42</t>
  </si>
  <si>
    <t>DA15/43</t>
  </si>
  <si>
    <t>DA15/44</t>
  </si>
  <si>
    <t>DA15/45</t>
  </si>
  <si>
    <t>DA15/46</t>
  </si>
  <si>
    <t>DA15/47</t>
  </si>
  <si>
    <t>DA15/48</t>
  </si>
  <si>
    <t>DA13_01</t>
  </si>
  <si>
    <t>DA13_02</t>
  </si>
  <si>
    <t>DA13_04</t>
  </si>
  <si>
    <t>DA13_05</t>
  </si>
  <si>
    <t>DA13_06</t>
  </si>
  <si>
    <t>DA13_07</t>
  </si>
  <si>
    <t>DA13_08</t>
  </si>
  <si>
    <t>DA13_09</t>
  </si>
  <si>
    <t>DA13_10</t>
  </si>
  <si>
    <t>DA13_11</t>
  </si>
  <si>
    <t>DA13_12</t>
  </si>
  <si>
    <t>DA13_13</t>
  </si>
  <si>
    <t>DA13_14</t>
  </si>
  <si>
    <t>DA13_15</t>
  </si>
  <si>
    <t>DA13_16</t>
  </si>
  <si>
    <t>DA13_17</t>
  </si>
  <si>
    <t>DA13_18</t>
  </si>
  <si>
    <t>DA13_19</t>
  </si>
  <si>
    <t>DA13_20</t>
  </si>
  <si>
    <t>DA13_21</t>
  </si>
  <si>
    <t>DA13_22</t>
  </si>
  <si>
    <t>DA13_23</t>
  </si>
  <si>
    <t>DA13_24</t>
  </si>
  <si>
    <t>DA13_25</t>
  </si>
  <si>
    <t>DA13_26</t>
  </si>
  <si>
    <t>DA13_27</t>
  </si>
  <si>
    <t>DA13_28</t>
  </si>
  <si>
    <t>DA13_29</t>
  </si>
  <si>
    <t>DA13_30</t>
  </si>
  <si>
    <t>DA13_31</t>
  </si>
  <si>
    <t>DA13_32</t>
  </si>
  <si>
    <t>DA13_33</t>
  </si>
  <si>
    <t>DA14_01</t>
  </si>
  <si>
    <t>DA14_02</t>
  </si>
  <si>
    <t>DA14_03</t>
  </si>
  <si>
    <t>DA14_04</t>
  </si>
  <si>
    <t>DA14_05</t>
  </si>
  <si>
    <t>DA14_06</t>
  </si>
  <si>
    <t>DA14_07</t>
  </si>
  <si>
    <t>DA14_08</t>
  </si>
  <si>
    <t>DA14_09</t>
  </si>
  <si>
    <t>DA14_10</t>
  </si>
  <si>
    <t>DA14_11</t>
  </si>
  <si>
    <t>DA14_12</t>
  </si>
  <si>
    <t>DA14_13</t>
  </si>
  <si>
    <t>DA14_14</t>
  </si>
  <si>
    <t>DA14_15</t>
  </si>
  <si>
    <t>DA14_16</t>
  </si>
  <si>
    <t>DA14_17</t>
  </si>
  <si>
    <t>DA14_18</t>
  </si>
  <si>
    <t>DA14_19</t>
  </si>
  <si>
    <t>DA14_20</t>
  </si>
  <si>
    <t>DA14_21</t>
  </si>
  <si>
    <t>DA14_22</t>
  </si>
  <si>
    <t>DA14_23</t>
  </si>
  <si>
    <t>DA14_24</t>
  </si>
  <si>
    <t>DA14_25</t>
  </si>
  <si>
    <t>DA14_26</t>
  </si>
  <si>
    <t>DA14_27</t>
  </si>
  <si>
    <t>DA14_28</t>
  </si>
  <si>
    <t>DA14_29</t>
  </si>
  <si>
    <t>DA14_30</t>
  </si>
  <si>
    <t>DA14_31</t>
  </si>
  <si>
    <t>DA14_32</t>
  </si>
  <si>
    <t>DA14_33</t>
  </si>
  <si>
    <t>DA14_34</t>
  </si>
  <si>
    <t>DA14_35</t>
  </si>
  <si>
    <t>DA14_36</t>
  </si>
  <si>
    <t>DA14_37</t>
  </si>
  <si>
    <t>DA14_38</t>
  </si>
  <si>
    <t>DA14_39</t>
  </si>
  <si>
    <t>DA14_40</t>
  </si>
  <si>
    <t>DA14_41</t>
  </si>
  <si>
    <t>DA14_42</t>
  </si>
  <si>
    <t>DA14_43</t>
  </si>
  <si>
    <t>DA14_44</t>
  </si>
  <si>
    <t>DA14_45</t>
  </si>
  <si>
    <t>DA14_46</t>
  </si>
  <si>
    <t>DA14_47</t>
  </si>
  <si>
    <t>DA14_48</t>
  </si>
  <si>
    <t>DA14_49</t>
  </si>
  <si>
    <t>DA14_50</t>
  </si>
  <si>
    <t>DA14_51</t>
  </si>
  <si>
    <t>DA14_52</t>
  </si>
  <si>
    <t>DA14_53</t>
  </si>
  <si>
    <t>DA14_54</t>
  </si>
  <si>
    <t>DA14_55</t>
  </si>
  <si>
    <t>DA14_56</t>
  </si>
  <si>
    <t>DA14_57</t>
  </si>
  <si>
    <t>DA14_58</t>
  </si>
  <si>
    <t>DA14_59</t>
  </si>
  <si>
    <t>DA14_60</t>
  </si>
  <si>
    <t>DA14_61</t>
  </si>
  <si>
    <t>DA14_62</t>
  </si>
  <si>
    <t>DA14_63</t>
  </si>
  <si>
    <t>DA14_64</t>
  </si>
  <si>
    <t>DA14_65</t>
  </si>
  <si>
    <t>DA14_66</t>
  </si>
  <si>
    <t>DA15_01</t>
  </si>
  <si>
    <t>DA15_02</t>
  </si>
  <si>
    <t>DA15_03</t>
  </si>
  <si>
    <t>DA15_04</t>
  </si>
  <si>
    <t>DA15_05</t>
  </si>
  <si>
    <t>DA15_06</t>
  </si>
  <si>
    <t>DA15_07</t>
  </si>
  <si>
    <t>DA15_08</t>
  </si>
  <si>
    <t>DA15_09</t>
  </si>
  <si>
    <t>DA15_10</t>
  </si>
  <si>
    <t>DA15_11</t>
  </si>
  <si>
    <t>DA15_12</t>
  </si>
  <si>
    <t>DA15_13</t>
  </si>
  <si>
    <t>DA15_14</t>
  </si>
  <si>
    <t>DA15_15</t>
  </si>
  <si>
    <t>DA15_16</t>
  </si>
  <si>
    <t>DA15_17</t>
  </si>
  <si>
    <t>DA15_18</t>
  </si>
  <si>
    <t>DA15_19</t>
  </si>
  <si>
    <t>DA15_20</t>
  </si>
  <si>
    <t>DA15_21</t>
  </si>
  <si>
    <t>DA15_22</t>
  </si>
  <si>
    <t>DA15_23</t>
  </si>
  <si>
    <t>DA15_24</t>
  </si>
  <si>
    <t>DA15_25</t>
  </si>
  <si>
    <t>DA15_26</t>
  </si>
  <si>
    <t>DA15_27</t>
  </si>
  <si>
    <t>DA15_28</t>
  </si>
  <si>
    <t>DA15_29</t>
  </si>
  <si>
    <t>DA15_30</t>
  </si>
  <si>
    <t>DA15_31</t>
  </si>
  <si>
    <t>DA15_32</t>
  </si>
  <si>
    <t>DA15_33</t>
  </si>
  <si>
    <t>DA15_34</t>
  </si>
  <si>
    <t>DA15_35</t>
  </si>
  <si>
    <t>DA15_36</t>
  </si>
  <si>
    <t>DA15_37</t>
  </si>
  <si>
    <t>DA15_38</t>
  </si>
  <si>
    <t>DA15_39</t>
  </si>
  <si>
    <t>DA15_40</t>
  </si>
  <si>
    <t>DA15_41</t>
  </si>
  <si>
    <t>DA15_42</t>
  </si>
  <si>
    <t>DA15_43</t>
  </si>
  <si>
    <t>DA15_44</t>
  </si>
  <si>
    <t>DA15_45</t>
  </si>
  <si>
    <t>DA15_46</t>
  </si>
  <si>
    <t>DA15_47</t>
  </si>
  <si>
    <t>DA15_48</t>
  </si>
  <si>
    <t>Nom Sequençage 18S</t>
  </si>
  <si>
    <t>05/07/2013</t>
  </si>
  <si>
    <t>07/08/2013</t>
  </si>
  <si>
    <t>07/11/2013</t>
  </si>
  <si>
    <t>22/07/2013</t>
  </si>
  <si>
    <t>25/07/2013</t>
  </si>
  <si>
    <t>29/07/2013</t>
  </si>
  <si>
    <t>01/08/2013</t>
  </si>
  <si>
    <t>05/08/2013</t>
  </si>
  <si>
    <t>08/08/2013</t>
  </si>
  <si>
    <t>30/05/2014</t>
  </si>
  <si>
    <t>03/06/2014</t>
  </si>
  <si>
    <t>06/06/2014</t>
  </si>
  <si>
    <t>10/06/2014</t>
  </si>
  <si>
    <t>13/06/2014</t>
  </si>
  <si>
    <t>16/06/2014</t>
  </si>
  <si>
    <t>20/06/2014</t>
  </si>
  <si>
    <t>23/06/2014</t>
  </si>
  <si>
    <t>30/06/2014</t>
  </si>
  <si>
    <t>11/07/2014</t>
  </si>
  <si>
    <t>15/07/2014</t>
  </si>
  <si>
    <t>18/07/2014</t>
  </si>
  <si>
    <t>21/07/2014</t>
  </si>
  <si>
    <t>28/07/2014</t>
  </si>
  <si>
    <t>01/08/2014</t>
  </si>
  <si>
    <t>04/08/2014</t>
  </si>
  <si>
    <t>08/08/2014</t>
  </si>
  <si>
    <t>11/08/2014</t>
  </si>
  <si>
    <t>18/08/2014</t>
  </si>
  <si>
    <t>22/06/2015</t>
  </si>
  <si>
    <t>26/06/2015</t>
  </si>
  <si>
    <t>29/06/2015</t>
  </si>
  <si>
    <t>07/02/2015</t>
  </si>
  <si>
    <t>07/06/2015</t>
  </si>
  <si>
    <t>09/07/2015</t>
  </si>
  <si>
    <t>15/07/2015</t>
  </si>
  <si>
    <t>20/07/2015</t>
  </si>
  <si>
    <t>27/07/2015</t>
  </si>
  <si>
    <t>28/07/2015</t>
  </si>
  <si>
    <t>30/07/2015</t>
  </si>
  <si>
    <t>03/08/2015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</si>
</sst>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$-409]#,##0.00;[Red]&quot;-&quot;[$$-409]#,##0.00"/>
    <numFmt numFmtId="166" formatCode="dd\-mm\-yyyy"/>
  </numFmts>
  <fonts count="11">
    <font>
      <sz val="11"/>
      <color theme="1"/>
      <name val="Liberation Sans"/>
    </font>
    <font>
      <sz val="11"/>
      <color theme="1"/>
      <name val="Calibri"/>
      <family val="2"/>
      <scheme val="minor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sz val="12"/>
      <color rgb="FF000000"/>
      <name val="Liberation Sans"/>
      <family val="2"/>
    </font>
    <font>
      <sz val="12"/>
      <color theme="1"/>
      <name val="Liberation Sans"/>
      <family val="2"/>
    </font>
    <font>
      <sz val="12"/>
      <color rgb="FF800000"/>
      <name val="Liberation Sans"/>
      <family val="2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  <xf numFmtId="0" fontId="1" fillId="0" borderId="0"/>
  </cellStyleXfs>
  <cellXfs count="182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16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/>
    </xf>
    <xf numFmtId="0" fontId="1" fillId="0" borderId="0" xfId="5" applyFont="1"/>
    <xf numFmtId="0" fontId="1" fillId="0" borderId="3" xfId="5" applyFont="1" applyBorder="1" applyAlignment="1">
      <alignment horizontal="center" vertical="center" wrapText="1"/>
    </xf>
    <xf numFmtId="0" fontId="1" fillId="0" borderId="4" xfId="5" applyFont="1" applyBorder="1" applyAlignment="1">
      <alignment horizontal="center" vertical="center" wrapText="1"/>
    </xf>
    <xf numFmtId="0" fontId="1" fillId="0" borderId="0" xfId="5" applyFont="1" applyFill="1" applyBorder="1" applyAlignment="1">
      <alignment horizontal="center" vertical="center" wrapText="1"/>
    </xf>
    <xf numFmtId="0" fontId="1" fillId="3" borderId="6" xfId="5" applyFont="1" applyFill="1" applyBorder="1" applyAlignment="1" applyProtection="1">
      <alignment horizontal="center" vertical="center" wrapText="1"/>
      <protection locked="0"/>
    </xf>
    <xf numFmtId="0" fontId="1" fillId="0" borderId="6" xfId="5" applyFont="1" applyBorder="1" applyAlignment="1">
      <alignment horizontal="center" vertical="center"/>
    </xf>
    <xf numFmtId="14" fontId="1" fillId="0" borderId="6" xfId="5" applyNumberFormat="1" applyFont="1" applyBorder="1" applyAlignment="1">
      <alignment horizontal="center" vertical="center"/>
    </xf>
    <xf numFmtId="0" fontId="1" fillId="2" borderId="6" xfId="5" applyFont="1" applyFill="1" applyBorder="1" applyAlignment="1">
      <alignment horizontal="center" vertical="center"/>
    </xf>
    <xf numFmtId="0" fontId="8" fillId="4" borderId="6" xfId="5" applyFont="1" applyFill="1" applyBorder="1" applyAlignment="1">
      <alignment horizontal="center" vertical="center" wrapText="1"/>
    </xf>
    <xf numFmtId="0" fontId="1" fillId="0" borderId="7" xfId="5" applyFont="1" applyBorder="1" applyAlignment="1">
      <alignment horizontal="center" vertical="center"/>
    </xf>
    <xf numFmtId="0" fontId="1" fillId="3" borderId="9" xfId="5" applyFont="1" applyFill="1" applyBorder="1" applyAlignment="1" applyProtection="1">
      <alignment horizontal="center" vertical="center" wrapText="1"/>
      <protection locked="0"/>
    </xf>
    <xf numFmtId="0" fontId="1" fillId="0" borderId="9" xfId="5" applyFont="1" applyBorder="1" applyAlignment="1">
      <alignment horizontal="center" vertical="center"/>
    </xf>
    <xf numFmtId="14" fontId="1" fillId="0" borderId="9" xfId="5" applyNumberFormat="1" applyFont="1" applyBorder="1" applyAlignment="1">
      <alignment horizontal="center" vertical="center"/>
    </xf>
    <xf numFmtId="0" fontId="1" fillId="2" borderId="9" xfId="5" applyFont="1" applyFill="1" applyBorder="1" applyAlignment="1">
      <alignment horizontal="center" vertical="center"/>
    </xf>
    <xf numFmtId="0" fontId="8" fillId="4" borderId="9" xfId="5" applyFont="1" applyFill="1" applyBorder="1" applyAlignment="1">
      <alignment horizontal="center" vertical="center" wrapText="1"/>
    </xf>
    <xf numFmtId="0" fontId="1" fillId="0" borderId="10" xfId="5" applyFont="1" applyBorder="1" applyAlignment="1">
      <alignment horizontal="center" vertical="center"/>
    </xf>
    <xf numFmtId="0" fontId="1" fillId="5" borderId="9" xfId="5" applyFont="1" applyFill="1" applyBorder="1" applyAlignment="1">
      <alignment horizontal="center" vertical="center"/>
    </xf>
    <xf numFmtId="0" fontId="1" fillId="6" borderId="9" xfId="5" applyFont="1" applyFill="1" applyBorder="1" applyAlignment="1">
      <alignment horizontal="center"/>
    </xf>
    <xf numFmtId="14" fontId="1" fillId="0" borderId="9" xfId="5" applyNumberFormat="1" applyFont="1" applyBorder="1" applyAlignment="1">
      <alignment horizontal="center"/>
    </xf>
    <xf numFmtId="0" fontId="1" fillId="0" borderId="9" xfId="5" applyFont="1" applyBorder="1" applyAlignment="1">
      <alignment horizontal="center"/>
    </xf>
    <xf numFmtId="0" fontId="1" fillId="0" borderId="10" xfId="5" applyFont="1" applyBorder="1" applyAlignment="1">
      <alignment horizontal="center"/>
    </xf>
    <xf numFmtId="0" fontId="1" fillId="0" borderId="10" xfId="5" applyFont="1" applyFill="1" applyBorder="1" applyAlignment="1">
      <alignment horizontal="center"/>
    </xf>
    <xf numFmtId="0" fontId="1" fillId="3" borderId="11" xfId="5" applyFont="1" applyFill="1" applyBorder="1" applyAlignment="1" applyProtection="1">
      <alignment horizontal="center" vertical="center" wrapText="1"/>
      <protection locked="0"/>
    </xf>
    <xf numFmtId="0" fontId="1" fillId="0" borderId="11" xfId="5" applyFont="1" applyBorder="1" applyAlignment="1">
      <alignment horizontal="center" vertical="center"/>
    </xf>
    <xf numFmtId="14" fontId="1" fillId="0" borderId="11" xfId="5" applyNumberFormat="1" applyFont="1" applyBorder="1" applyAlignment="1">
      <alignment horizontal="center" vertical="center"/>
    </xf>
    <xf numFmtId="0" fontId="1" fillId="6" borderId="11" xfId="5" applyFont="1" applyFill="1" applyBorder="1" applyAlignment="1">
      <alignment horizontal="center"/>
    </xf>
    <xf numFmtId="14" fontId="1" fillId="0" borderId="11" xfId="5" applyNumberFormat="1" applyFont="1" applyBorder="1" applyAlignment="1">
      <alignment horizontal="center"/>
    </xf>
    <xf numFmtId="0" fontId="8" fillId="4" borderId="11" xfId="5" applyFont="1" applyFill="1" applyBorder="1" applyAlignment="1">
      <alignment horizontal="center" vertical="center" wrapText="1"/>
    </xf>
    <xf numFmtId="0" fontId="1" fillId="0" borderId="11" xfId="5" applyFont="1" applyBorder="1" applyAlignment="1">
      <alignment horizontal="center"/>
    </xf>
    <xf numFmtId="0" fontId="1" fillId="0" borderId="12" xfId="5" applyFont="1" applyFill="1" applyBorder="1" applyAlignment="1">
      <alignment horizontal="center"/>
    </xf>
    <xf numFmtId="0" fontId="9" fillId="0" borderId="6" xfId="5" applyFont="1" applyBorder="1" applyAlignment="1">
      <alignment horizontal="center" vertical="center"/>
    </xf>
    <xf numFmtId="0" fontId="1" fillId="0" borderId="13" xfId="5" applyFont="1" applyFill="1" applyBorder="1" applyAlignment="1">
      <alignment horizontal="center"/>
    </xf>
    <xf numFmtId="0" fontId="9" fillId="0" borderId="9" xfId="5" applyFont="1" applyBorder="1" applyAlignment="1">
      <alignment horizontal="center" vertical="center"/>
    </xf>
    <xf numFmtId="14" fontId="1" fillId="5" borderId="9" xfId="5" applyNumberFormat="1" applyFont="1" applyFill="1" applyBorder="1" applyAlignment="1">
      <alignment horizontal="center" vertical="center"/>
    </xf>
    <xf numFmtId="0" fontId="1" fillId="6" borderId="9" xfId="5" applyFont="1" applyFill="1" applyBorder="1" applyAlignment="1">
      <alignment horizontal="center" vertical="center"/>
    </xf>
    <xf numFmtId="14" fontId="1" fillId="0" borderId="9" xfId="5" applyNumberFormat="1" applyFont="1" applyBorder="1" applyAlignment="1">
      <alignment vertical="center"/>
    </xf>
    <xf numFmtId="0" fontId="1" fillId="6" borderId="11" xfId="5" applyFont="1" applyFill="1" applyBorder="1" applyAlignment="1">
      <alignment horizontal="center" vertical="center"/>
    </xf>
    <xf numFmtId="14" fontId="1" fillId="0" borderId="11" xfId="5" applyNumberFormat="1" applyFont="1" applyBorder="1" applyAlignment="1">
      <alignment vertical="center"/>
    </xf>
    <xf numFmtId="0" fontId="9" fillId="0" borderId="11" xfId="5" applyFont="1" applyBorder="1" applyAlignment="1">
      <alignment horizontal="center" vertical="center"/>
    </xf>
    <xf numFmtId="0" fontId="1" fillId="2" borderId="6" xfId="5" applyFont="1" applyFill="1" applyBorder="1" applyAlignment="1">
      <alignment horizontal="center"/>
    </xf>
    <xf numFmtId="166" fontId="1" fillId="7" borderId="6" xfId="5" applyNumberFormat="1" applyFont="1" applyFill="1" applyBorder="1"/>
    <xf numFmtId="0" fontId="1" fillId="7" borderId="6" xfId="5" applyFont="1" applyFill="1" applyBorder="1" applyAlignment="1">
      <alignment horizontal="center"/>
    </xf>
    <xf numFmtId="14" fontId="1" fillId="7" borderId="6" xfId="5" applyNumberFormat="1" applyFont="1" applyFill="1" applyBorder="1" applyAlignment="1">
      <alignment horizontal="center"/>
    </xf>
    <xf numFmtId="2" fontId="1" fillId="7" borderId="6" xfId="5" applyNumberFormat="1" applyFont="1" applyFill="1" applyBorder="1" applyAlignment="1">
      <alignment horizontal="center"/>
    </xf>
    <xf numFmtId="0" fontId="1" fillId="7" borderId="7" xfId="5" applyFont="1" applyFill="1" applyBorder="1" applyAlignment="1">
      <alignment horizontal="center"/>
    </xf>
    <xf numFmtId="0" fontId="1" fillId="0" borderId="0" xfId="5" applyFont="1" applyFill="1" applyBorder="1"/>
    <xf numFmtId="0" fontId="1" fillId="5" borderId="9" xfId="5" applyFont="1" applyFill="1" applyBorder="1" applyAlignment="1">
      <alignment horizontal="center"/>
    </xf>
    <xf numFmtId="166" fontId="1" fillId="7" borderId="9" xfId="5" applyNumberFormat="1" applyFont="1" applyFill="1" applyBorder="1"/>
    <xf numFmtId="0" fontId="1" fillId="7" borderId="9" xfId="5" applyFont="1" applyFill="1" applyBorder="1" applyAlignment="1">
      <alignment horizontal="center"/>
    </xf>
    <xf numFmtId="14" fontId="1" fillId="7" borderId="9" xfId="5" applyNumberFormat="1" applyFont="1" applyFill="1" applyBorder="1" applyAlignment="1">
      <alignment horizontal="center"/>
    </xf>
    <xf numFmtId="2" fontId="1" fillId="0" borderId="9" xfId="5" applyNumberFormat="1" applyFont="1" applyBorder="1" applyAlignment="1">
      <alignment horizontal="center"/>
    </xf>
    <xf numFmtId="0" fontId="1" fillId="7" borderId="10" xfId="5" applyFont="1" applyFill="1" applyBorder="1" applyAlignment="1">
      <alignment horizontal="center"/>
    </xf>
    <xf numFmtId="0" fontId="1" fillId="2" borderId="9" xfId="5" applyFont="1" applyFill="1" applyBorder="1" applyAlignment="1">
      <alignment horizontal="center"/>
    </xf>
    <xf numFmtId="2" fontId="1" fillId="7" borderId="9" xfId="5" applyNumberFormat="1" applyFont="1" applyFill="1" applyBorder="1" applyAlignment="1">
      <alignment horizontal="center"/>
    </xf>
    <xf numFmtId="2" fontId="1" fillId="0" borderId="9" xfId="5" applyNumberFormat="1" applyFont="1" applyFill="1" applyBorder="1" applyAlignment="1">
      <alignment horizontal="center"/>
    </xf>
    <xf numFmtId="1" fontId="1" fillId="7" borderId="10" xfId="5" applyNumberFormat="1" applyFont="1" applyFill="1" applyBorder="1" applyAlignment="1">
      <alignment horizontal="center"/>
    </xf>
    <xf numFmtId="2" fontId="8" fillId="4" borderId="9" xfId="5" applyNumberFormat="1" applyFont="1" applyFill="1" applyBorder="1" applyAlignment="1">
      <alignment horizontal="center" vertical="center" wrapText="1"/>
    </xf>
    <xf numFmtId="166" fontId="1" fillId="0" borderId="9" xfId="5" applyNumberFormat="1" applyFont="1" applyFill="1" applyBorder="1"/>
    <xf numFmtId="0" fontId="1" fillId="0" borderId="9" xfId="5" applyFont="1" applyFill="1" applyBorder="1" applyAlignment="1">
      <alignment horizontal="center"/>
    </xf>
    <xf numFmtId="14" fontId="1" fillId="0" borderId="9" xfId="5" applyNumberFormat="1" applyFont="1" applyFill="1" applyBorder="1" applyAlignment="1">
      <alignment horizontal="center"/>
    </xf>
    <xf numFmtId="2" fontId="8" fillId="0" borderId="9" xfId="5" applyNumberFormat="1" applyFont="1" applyFill="1" applyBorder="1" applyAlignment="1">
      <alignment horizontal="center" vertical="center" wrapText="1"/>
    </xf>
    <xf numFmtId="1" fontId="1" fillId="0" borderId="10" xfId="5" applyNumberFormat="1" applyFont="1" applyFill="1" applyBorder="1" applyAlignment="1">
      <alignment horizontal="center"/>
    </xf>
    <xf numFmtId="0" fontId="1" fillId="3" borderId="15" xfId="5" applyFont="1" applyFill="1" applyBorder="1" applyAlignment="1" applyProtection="1">
      <alignment horizontal="center" vertical="center" wrapText="1"/>
      <protection locked="0"/>
    </xf>
    <xf numFmtId="14" fontId="1" fillId="0" borderId="15" xfId="5" applyNumberFormat="1" applyFont="1" applyBorder="1" applyAlignment="1">
      <alignment horizontal="center" vertical="center"/>
    </xf>
    <xf numFmtId="0" fontId="1" fillId="6" borderId="15" xfId="5" applyFont="1" applyFill="1" applyBorder="1" applyAlignment="1">
      <alignment horizontal="center"/>
    </xf>
    <xf numFmtId="166" fontId="1" fillId="7" borderId="15" xfId="5" applyNumberFormat="1" applyFont="1" applyFill="1" applyBorder="1"/>
    <xf numFmtId="0" fontId="1" fillId="7" borderId="15" xfId="5" applyFont="1" applyFill="1" applyBorder="1" applyAlignment="1">
      <alignment horizontal="center"/>
    </xf>
    <xf numFmtId="14" fontId="1" fillId="7" borderId="15" xfId="5" applyNumberFormat="1" applyFont="1" applyFill="1" applyBorder="1" applyAlignment="1">
      <alignment horizontal="center"/>
    </xf>
    <xf numFmtId="2" fontId="8" fillId="0" borderId="15" xfId="5" applyNumberFormat="1" applyFont="1" applyFill="1" applyBorder="1" applyAlignment="1">
      <alignment horizontal="center" vertical="center" wrapText="1"/>
    </xf>
    <xf numFmtId="1" fontId="1" fillId="7" borderId="16" xfId="5" applyNumberFormat="1" applyFont="1" applyFill="1" applyBorder="1" applyAlignment="1">
      <alignment horizontal="center"/>
    </xf>
    <xf numFmtId="0" fontId="1" fillId="0" borderId="0" xfId="5"/>
    <xf numFmtId="14" fontId="1" fillId="0" borderId="18" xfId="5" applyNumberFormat="1" applyBorder="1" applyAlignment="1">
      <alignment horizontal="center" vertical="center"/>
    </xf>
    <xf numFmtId="0" fontId="1" fillId="2" borderId="18" xfId="5" applyFill="1" applyBorder="1" applyAlignment="1">
      <alignment horizontal="center" vertical="center"/>
    </xf>
    <xf numFmtId="0" fontId="1" fillId="0" borderId="18" xfId="5" applyFont="1" applyFill="1" applyBorder="1" applyAlignment="1">
      <alignment horizontal="center" vertical="center"/>
    </xf>
    <xf numFmtId="14" fontId="1" fillId="0" borderId="18" xfId="5" applyNumberFormat="1" applyFont="1" applyFill="1" applyBorder="1" applyAlignment="1">
      <alignment horizontal="center" vertical="center"/>
    </xf>
    <xf numFmtId="0" fontId="8" fillId="0" borderId="18" xfId="5" applyFont="1" applyFill="1" applyBorder="1" applyAlignment="1">
      <alignment horizontal="center" vertical="center" wrapText="1"/>
    </xf>
    <xf numFmtId="0" fontId="1" fillId="5" borderId="18" xfId="5" applyFill="1" applyBorder="1" applyAlignment="1">
      <alignment horizontal="center" vertical="center"/>
    </xf>
    <xf numFmtId="0" fontId="1" fillId="5" borderId="18" xfId="5" applyFont="1" applyFill="1" applyBorder="1" applyAlignment="1">
      <alignment horizontal="center" vertical="center"/>
    </xf>
    <xf numFmtId="0" fontId="1" fillId="6" borderId="18" xfId="5" applyFill="1" applyBorder="1" applyAlignment="1">
      <alignment horizontal="center"/>
    </xf>
    <xf numFmtId="14" fontId="1" fillId="0" borderId="18" xfId="5" applyNumberFormat="1" applyFont="1" applyFill="1" applyBorder="1" applyAlignment="1">
      <alignment horizontal="center"/>
    </xf>
    <xf numFmtId="0" fontId="1" fillId="0" borderId="18" xfId="5" applyFont="1" applyFill="1" applyBorder="1" applyAlignment="1">
      <alignment horizontal="center"/>
    </xf>
    <xf numFmtId="0" fontId="1" fillId="2" borderId="18" xfId="5" applyFont="1" applyFill="1" applyBorder="1" applyAlignment="1">
      <alignment horizontal="center" vertical="center"/>
    </xf>
    <xf numFmtId="0" fontId="1" fillId="3" borderId="22" xfId="5" applyFill="1" applyBorder="1" applyAlignment="1">
      <alignment horizontal="center"/>
    </xf>
    <xf numFmtId="14" fontId="1" fillId="0" borderId="6" xfId="5" applyNumberFormat="1" applyBorder="1" applyAlignment="1">
      <alignment horizontal="center" vertical="center"/>
    </xf>
    <xf numFmtId="0" fontId="1" fillId="2" borderId="6" xfId="5" applyFill="1" applyBorder="1" applyAlignment="1">
      <alignment horizontal="center" vertical="center"/>
    </xf>
    <xf numFmtId="0" fontId="1" fillId="0" borderId="6" xfId="5" applyFont="1" applyFill="1" applyBorder="1" applyAlignment="1">
      <alignment horizontal="center" vertical="center"/>
    </xf>
    <xf numFmtId="14" fontId="1" fillId="0" borderId="6" xfId="5" applyNumberFormat="1" applyFont="1" applyFill="1" applyBorder="1" applyAlignment="1">
      <alignment horizontal="center" vertical="center"/>
    </xf>
    <xf numFmtId="0" fontId="8" fillId="0" borderId="6" xfId="5" applyFont="1" applyFill="1" applyBorder="1" applyAlignment="1">
      <alignment horizontal="center" vertical="center" wrapText="1"/>
    </xf>
    <xf numFmtId="0" fontId="1" fillId="0" borderId="7" xfId="5" applyFont="1" applyFill="1" applyBorder="1" applyAlignment="1">
      <alignment horizontal="center" vertical="center"/>
    </xf>
    <xf numFmtId="0" fontId="1" fillId="3" borderId="23" xfId="5" applyFill="1" applyBorder="1" applyAlignment="1">
      <alignment horizontal="center"/>
    </xf>
    <xf numFmtId="0" fontId="1" fillId="0" borderId="10" xfId="5" applyFont="1" applyFill="1" applyBorder="1" applyAlignment="1">
      <alignment horizontal="center" vertical="center"/>
    </xf>
    <xf numFmtId="0" fontId="8" fillId="0" borderId="15" xfId="5" applyFont="1" applyFill="1" applyBorder="1" applyAlignment="1">
      <alignment horizontal="center" vertical="center" wrapText="1"/>
    </xf>
    <xf numFmtId="0" fontId="1" fillId="0" borderId="15" xfId="5" applyFont="1" applyFill="1" applyBorder="1" applyAlignment="1">
      <alignment horizontal="center"/>
    </xf>
    <xf numFmtId="0" fontId="1" fillId="0" borderId="16" xfId="5" applyFont="1" applyFill="1" applyBorder="1" applyAlignment="1">
      <alignment horizontal="center"/>
    </xf>
    <xf numFmtId="0" fontId="1" fillId="3" borderId="25" xfId="5" applyFill="1" applyBorder="1" applyAlignment="1">
      <alignment horizontal="center"/>
    </xf>
    <xf numFmtId="14" fontId="1" fillId="0" borderId="26" xfId="5" applyNumberFormat="1" applyBorder="1" applyAlignment="1">
      <alignment horizontal="center" vertical="center"/>
    </xf>
    <xf numFmtId="0" fontId="1" fillId="6" borderId="26" xfId="5" applyFill="1" applyBorder="1" applyAlignment="1">
      <alignment horizontal="center"/>
    </xf>
    <xf numFmtId="0" fontId="1" fillId="0" borderId="26" xfId="5" applyFont="1" applyFill="1" applyBorder="1" applyAlignment="1">
      <alignment horizontal="center" vertical="center"/>
    </xf>
    <xf numFmtId="14" fontId="1" fillId="0" borderId="26" xfId="5" applyNumberFormat="1" applyFont="1" applyFill="1" applyBorder="1" applyAlignment="1">
      <alignment horizontal="center"/>
    </xf>
    <xf numFmtId="0" fontId="8" fillId="0" borderId="26" xfId="5" applyFont="1" applyFill="1" applyBorder="1" applyAlignment="1">
      <alignment horizontal="center" vertical="center" wrapText="1"/>
    </xf>
    <xf numFmtId="0" fontId="1" fillId="0" borderId="26" xfId="5" applyFont="1" applyFill="1" applyBorder="1" applyAlignment="1">
      <alignment horizontal="center"/>
    </xf>
    <xf numFmtId="0" fontId="1" fillId="0" borderId="27" xfId="5" applyFont="1" applyFill="1" applyBorder="1" applyAlignment="1">
      <alignment horizontal="center"/>
    </xf>
    <xf numFmtId="0" fontId="1" fillId="3" borderId="22" xfId="5" applyFont="1" applyFill="1" applyBorder="1" applyAlignment="1">
      <alignment horizontal="center"/>
    </xf>
    <xf numFmtId="0" fontId="1" fillId="3" borderId="23" xfId="5" applyFont="1" applyFill="1" applyBorder="1" applyAlignment="1">
      <alignment horizontal="center"/>
    </xf>
    <xf numFmtId="0" fontId="1" fillId="3" borderId="24" xfId="5" applyFont="1" applyFill="1" applyBorder="1" applyAlignment="1">
      <alignment horizontal="center"/>
    </xf>
    <xf numFmtId="14" fontId="1" fillId="0" borderId="18" xfId="5" applyNumberFormat="1" applyFont="1" applyBorder="1" applyAlignment="1">
      <alignment horizontal="center" vertical="center"/>
    </xf>
    <xf numFmtId="0" fontId="9" fillId="0" borderId="18" xfId="5" applyFont="1" applyBorder="1" applyAlignment="1">
      <alignment horizontal="center" vertical="center"/>
    </xf>
    <xf numFmtId="0" fontId="1" fillId="0" borderId="18" xfId="5" applyFont="1" applyBorder="1" applyAlignment="1">
      <alignment horizontal="center" vertical="center"/>
    </xf>
    <xf numFmtId="14" fontId="1" fillId="5" borderId="18" xfId="5" applyNumberFormat="1" applyFont="1" applyFill="1" applyBorder="1" applyAlignment="1">
      <alignment horizontal="center" vertical="center"/>
    </xf>
    <xf numFmtId="0" fontId="1" fillId="6" borderId="18" xfId="5" applyFont="1" applyFill="1" applyBorder="1" applyAlignment="1">
      <alignment horizontal="center" vertical="center"/>
    </xf>
    <xf numFmtId="14" fontId="1" fillId="0" borderId="18" xfId="5" applyNumberFormat="1" applyFont="1" applyBorder="1" applyAlignment="1">
      <alignment horizontal="center"/>
    </xf>
    <xf numFmtId="0" fontId="1" fillId="0" borderId="18" xfId="5" applyFont="1" applyBorder="1" applyAlignment="1">
      <alignment horizontal="center"/>
    </xf>
    <xf numFmtId="0" fontId="1" fillId="6" borderId="15" xfId="5" applyFont="1" applyFill="1" applyBorder="1" applyAlignment="1">
      <alignment horizontal="center" vertical="center"/>
    </xf>
    <xf numFmtId="0" fontId="9" fillId="0" borderId="15" xfId="5" applyFont="1" applyBorder="1" applyAlignment="1">
      <alignment horizontal="center" vertical="center"/>
    </xf>
    <xf numFmtId="14" fontId="1" fillId="0" borderId="15" xfId="5" applyNumberFormat="1" applyFont="1" applyBorder="1" applyAlignment="1">
      <alignment horizontal="center"/>
    </xf>
    <xf numFmtId="0" fontId="1" fillId="0" borderId="15" xfId="5" applyFont="1" applyBorder="1" applyAlignment="1">
      <alignment horizontal="center"/>
    </xf>
    <xf numFmtId="0" fontId="1" fillId="7" borderId="18" xfId="5" applyFont="1" applyFill="1" applyBorder="1" applyAlignment="1">
      <alignment horizontal="center"/>
    </xf>
    <xf numFmtId="166" fontId="1" fillId="7" borderId="18" xfId="5" applyNumberFormat="1" applyFont="1" applyFill="1" applyBorder="1" applyAlignment="1">
      <alignment horizontal="center"/>
    </xf>
    <xf numFmtId="14" fontId="1" fillId="7" borderId="18" xfId="5" applyNumberFormat="1" applyFont="1" applyFill="1" applyBorder="1" applyAlignment="1">
      <alignment horizontal="center"/>
    </xf>
    <xf numFmtId="2" fontId="1" fillId="7" borderId="18" xfId="5" applyNumberFormat="1" applyFont="1" applyFill="1" applyBorder="1" applyAlignment="1">
      <alignment horizontal="center"/>
    </xf>
    <xf numFmtId="2" fontId="1" fillId="0" borderId="18" xfId="5" applyNumberFormat="1" applyFont="1" applyFill="1" applyBorder="1" applyAlignment="1">
      <alignment horizontal="center"/>
    </xf>
    <xf numFmtId="0" fontId="1" fillId="2" borderId="18" xfId="5" applyFont="1" applyFill="1" applyBorder="1" applyAlignment="1">
      <alignment horizontal="center"/>
    </xf>
    <xf numFmtId="166" fontId="1" fillId="0" borderId="18" xfId="5" applyNumberFormat="1" applyFont="1" applyFill="1" applyBorder="1" applyAlignment="1">
      <alignment horizontal="center"/>
    </xf>
    <xf numFmtId="2" fontId="8" fillId="4" borderId="17" xfId="5" applyNumberFormat="1" applyFont="1" applyFill="1" applyBorder="1" applyAlignment="1">
      <alignment horizontal="center" vertical="center" wrapText="1"/>
    </xf>
    <xf numFmtId="166" fontId="1" fillId="7" borderId="6" xfId="5" applyNumberFormat="1" applyFont="1" applyFill="1" applyBorder="1" applyAlignment="1">
      <alignment horizontal="center"/>
    </xf>
    <xf numFmtId="0" fontId="1" fillId="0" borderId="6" xfId="5" applyFont="1" applyFill="1" applyBorder="1" applyAlignment="1">
      <alignment horizontal="center"/>
    </xf>
    <xf numFmtId="0" fontId="1" fillId="5" borderId="18" xfId="5" applyFont="1" applyFill="1" applyBorder="1" applyAlignment="1">
      <alignment horizontal="center"/>
    </xf>
    <xf numFmtId="2" fontId="1" fillId="0" borderId="18" xfId="5" applyNumberFormat="1" applyFont="1" applyBorder="1" applyAlignment="1">
      <alignment horizontal="center"/>
    </xf>
    <xf numFmtId="0" fontId="1" fillId="6" borderId="18" xfId="5" applyFont="1" applyFill="1" applyBorder="1" applyAlignment="1">
      <alignment horizontal="center"/>
    </xf>
    <xf numFmtId="1" fontId="1" fillId="7" borderId="28" xfId="5" applyNumberFormat="1" applyFont="1" applyFill="1" applyBorder="1" applyAlignment="1">
      <alignment horizontal="center"/>
    </xf>
    <xf numFmtId="0" fontId="1" fillId="0" borderId="0" xfId="5" applyFill="1" applyBorder="1"/>
    <xf numFmtId="0" fontId="1" fillId="7" borderId="28" xfId="5" applyFont="1" applyFill="1" applyBorder="1" applyAlignment="1">
      <alignment horizontal="center"/>
    </xf>
    <xf numFmtId="2" fontId="8" fillId="0" borderId="30" xfId="5" applyNumberFormat="1" applyFont="1" applyFill="1" applyBorder="1" applyAlignment="1">
      <alignment horizontal="center" vertical="center" wrapText="1"/>
    </xf>
    <xf numFmtId="1" fontId="1" fillId="0" borderId="31" xfId="5" applyNumberFormat="1" applyFont="1" applyFill="1" applyBorder="1" applyAlignment="1">
      <alignment horizontal="center"/>
    </xf>
    <xf numFmtId="2" fontId="8" fillId="0" borderId="33" xfId="5" applyNumberFormat="1" applyFont="1" applyFill="1" applyBorder="1" applyAlignment="1">
      <alignment horizontal="center" vertical="center" wrapText="1"/>
    </xf>
    <xf numFmtId="1" fontId="1" fillId="0" borderId="34" xfId="5" applyNumberFormat="1" applyFont="1" applyFill="1" applyBorder="1" applyAlignment="1">
      <alignment horizontal="center"/>
    </xf>
    <xf numFmtId="2" fontId="8" fillId="0" borderId="36" xfId="5" applyNumberFormat="1" applyFont="1" applyFill="1" applyBorder="1" applyAlignment="1">
      <alignment horizontal="center" vertical="center" wrapText="1"/>
    </xf>
    <xf numFmtId="1" fontId="1" fillId="0" borderId="37" xfId="5" applyNumberFormat="1" applyFont="1" applyFill="1" applyBorder="1" applyAlignment="1">
      <alignment horizontal="center"/>
    </xf>
    <xf numFmtId="2" fontId="8" fillId="0" borderId="39" xfId="5" applyNumberFormat="1" applyFont="1" applyFill="1" applyBorder="1" applyAlignment="1">
      <alignment horizontal="center" vertical="center" wrapText="1"/>
    </xf>
    <xf numFmtId="1" fontId="1" fillId="0" borderId="40" xfId="5" applyNumberFormat="1" applyFont="1" applyFill="1" applyBorder="1" applyAlignment="1">
      <alignment horizontal="center"/>
    </xf>
    <xf numFmtId="1" fontId="1" fillId="7" borderId="40" xfId="5" applyNumberFormat="1" applyFont="1" applyFill="1" applyBorder="1" applyAlignment="1">
      <alignment horizontal="center"/>
    </xf>
    <xf numFmtId="2" fontId="8" fillId="0" borderId="42" xfId="5" applyNumberFormat="1" applyFont="1" applyFill="1" applyBorder="1" applyAlignment="1">
      <alignment horizontal="center" vertical="center" wrapText="1"/>
    </xf>
    <xf numFmtId="1" fontId="1" fillId="7" borderId="43" xfId="5" applyNumberFormat="1" applyFont="1" applyFill="1" applyBorder="1" applyAlignment="1">
      <alignment horizontal="center"/>
    </xf>
    <xf numFmtId="2" fontId="8" fillId="0" borderId="45" xfId="5" applyNumberFormat="1" applyFont="1" applyFill="1" applyBorder="1" applyAlignment="1">
      <alignment horizontal="center" vertical="center" wrapText="1"/>
    </xf>
    <xf numFmtId="1" fontId="1" fillId="7" borderId="46" xfId="5" applyNumberFormat="1" applyFont="1" applyFill="1" applyBorder="1" applyAlignment="1">
      <alignment horizontal="center"/>
    </xf>
    <xf numFmtId="166" fontId="1" fillId="7" borderId="15" xfId="5" applyNumberFormat="1" applyFont="1" applyFill="1" applyBorder="1" applyAlignment="1">
      <alignment horizontal="center"/>
    </xf>
    <xf numFmtId="2" fontId="8" fillId="0" borderId="47" xfId="5" applyNumberFormat="1" applyFont="1" applyFill="1" applyBorder="1" applyAlignment="1">
      <alignment horizontal="center" vertical="center" wrapText="1"/>
    </xf>
    <xf numFmtId="0" fontId="1" fillId="7" borderId="48" xfId="5" applyFont="1" applyFill="1" applyBorder="1" applyAlignment="1">
      <alignment horizontal="center"/>
    </xf>
    <xf numFmtId="1" fontId="1" fillId="7" borderId="49" xfId="5" applyNumberFormat="1" applyFont="1" applyFill="1" applyBorder="1" applyAlignment="1">
      <alignment horizontal="center"/>
    </xf>
    <xf numFmtId="0" fontId="10" fillId="3" borderId="22" xfId="5" applyFont="1" applyFill="1" applyBorder="1" applyAlignment="1">
      <alignment horizontal="center"/>
    </xf>
    <xf numFmtId="0" fontId="10" fillId="3" borderId="29" xfId="5" applyFont="1" applyFill="1" applyBorder="1" applyAlignment="1">
      <alignment horizontal="center"/>
    </xf>
    <xf numFmtId="0" fontId="10" fillId="3" borderId="23" xfId="5" applyFont="1" applyFill="1" applyBorder="1" applyAlignment="1">
      <alignment horizontal="center"/>
    </xf>
    <xf numFmtId="0" fontId="10" fillId="3" borderId="32" xfId="5" applyFont="1" applyFill="1" applyBorder="1" applyAlignment="1">
      <alignment horizontal="center"/>
    </xf>
    <xf numFmtId="0" fontId="10" fillId="3" borderId="35" xfId="5" applyFont="1" applyFill="1" applyBorder="1" applyAlignment="1">
      <alignment horizontal="center"/>
    </xf>
    <xf numFmtId="0" fontId="10" fillId="3" borderId="38" xfId="5" applyFont="1" applyFill="1" applyBorder="1" applyAlignment="1">
      <alignment horizontal="center"/>
    </xf>
    <xf numFmtId="0" fontId="10" fillId="3" borderId="41" xfId="5" applyFont="1" applyFill="1" applyBorder="1" applyAlignment="1">
      <alignment horizontal="center"/>
    </xf>
    <xf numFmtId="0" fontId="10" fillId="3" borderId="44" xfId="5" applyFont="1" applyFill="1" applyBorder="1" applyAlignment="1">
      <alignment horizontal="center"/>
    </xf>
    <xf numFmtId="0" fontId="10" fillId="3" borderId="24" xfId="5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5" xfId="5" applyFont="1" applyBorder="1" applyAlignment="1">
      <alignment horizontal="center" vertical="center" textRotation="90"/>
    </xf>
    <xf numFmtId="0" fontId="7" fillId="0" borderId="8" xfId="5" applyFont="1" applyBorder="1" applyAlignment="1">
      <alignment horizontal="center" vertical="center" textRotation="90"/>
    </xf>
    <xf numFmtId="0" fontId="7" fillId="0" borderId="14" xfId="5" applyFont="1" applyBorder="1" applyAlignment="1">
      <alignment horizontal="center" vertical="center" textRotation="90"/>
    </xf>
    <xf numFmtId="0" fontId="7" fillId="0" borderId="19" xfId="5" applyFont="1" applyBorder="1" applyAlignment="1">
      <alignment horizontal="center" vertical="center" textRotation="90"/>
    </xf>
    <xf numFmtId="0" fontId="7" fillId="0" borderId="20" xfId="5" applyFont="1" applyBorder="1" applyAlignment="1">
      <alignment horizontal="center" vertical="center" textRotation="90"/>
    </xf>
    <xf numFmtId="0" fontId="7" fillId="0" borderId="21" xfId="5" applyFont="1" applyBorder="1" applyAlignment="1">
      <alignment horizontal="center" vertical="center" textRotation="90"/>
    </xf>
    <xf numFmtId="49" fontId="4" fillId="0" borderId="5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49" fontId="5" fillId="2" borderId="0" xfId="0" applyNumberFormat="1" applyFont="1" applyFill="1" applyBorder="1" applyAlignment="1">
      <alignment horizontal="center"/>
    </xf>
  </cellXfs>
  <cellStyles count="6">
    <cellStyle name="Heading" xfId="1" xr:uid="{00000000-0005-0000-0000-000000000000}"/>
    <cellStyle name="Heading1" xfId="2" xr:uid="{00000000-0005-0000-0000-000001000000}"/>
    <cellStyle name="Normal" xfId="0" builtinId="0" customBuiltin="1"/>
    <cellStyle name="Normal 2" xfId="5" xr:uid="{00000000-0005-0000-0000-000003000000}"/>
    <cellStyle name="Result" xfId="3" xr:uid="{00000000-0005-0000-0000-000004000000}"/>
    <cellStyle name="Result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5"/>
  <sheetViews>
    <sheetView tabSelected="1" zoomScale="70" zoomScaleNormal="70" workbookViewId="0">
      <selection activeCell="A35" sqref="A34:A35"/>
    </sheetView>
  </sheetViews>
  <sheetFormatPr baseColWidth="10" defaultRowHeight="15"/>
  <cols>
    <col min="1" max="1" width="126.875" style="3" customWidth="1"/>
    <col min="2" max="2" width="17.75" style="2" customWidth="1"/>
    <col min="3" max="3" width="30.125" style="2" customWidth="1"/>
    <col min="4" max="4" width="35.25" style="3" customWidth="1"/>
    <col min="5" max="5" width="23.625" style="3" customWidth="1"/>
    <col min="6" max="6" width="19.75" style="3" customWidth="1"/>
    <col min="7" max="7" width="20.125" style="3" customWidth="1"/>
    <col min="8" max="8" width="16.125" style="3" customWidth="1"/>
    <col min="9" max="9" width="20.75" style="3" customWidth="1"/>
    <col min="10" max="10" width="34.875" style="3" customWidth="1"/>
    <col min="11" max="11" width="17.375" style="3" customWidth="1"/>
    <col min="12" max="12" width="7" style="3" customWidth="1"/>
    <col min="13" max="13" width="19.625" style="3" customWidth="1"/>
    <col min="14" max="14" width="18.5" style="3" customWidth="1"/>
    <col min="15" max="15" width="24.875" style="4" customWidth="1"/>
    <col min="16" max="16" width="24.875" style="3" customWidth="1"/>
    <col min="17" max="17" width="29" style="3" customWidth="1"/>
    <col min="18" max="18" width="25.5" style="3" customWidth="1"/>
    <col min="19" max="19" width="32.5" style="3" customWidth="1"/>
    <col min="20" max="24" width="10.625" style="3" customWidth="1"/>
    <col min="25" max="25" width="14.875" customWidth="1"/>
    <col min="26" max="26" width="18" customWidth="1"/>
    <col min="27" max="1024" width="10.625" style="3" customWidth="1"/>
  </cols>
  <sheetData>
    <row r="1" spans="1:20">
      <c r="A1" s="178" t="s">
        <v>0</v>
      </c>
      <c r="B1" s="2" t="s">
        <v>1</v>
      </c>
      <c r="C1" s="2" t="s">
        <v>2</v>
      </c>
      <c r="D1" s="170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171" t="s">
        <v>15</v>
      </c>
      <c r="Q1" s="171" t="s">
        <v>16</v>
      </c>
      <c r="R1" s="171" t="s">
        <v>17</v>
      </c>
      <c r="S1" s="3" t="s">
        <v>18</v>
      </c>
    </row>
    <row r="2" spans="1:20">
      <c r="A2" s="179" t="s">
        <v>339</v>
      </c>
      <c r="B2" s="2">
        <v>8.9499999999999993</v>
      </c>
      <c r="C2" s="2">
        <v>0</v>
      </c>
      <c r="D2" s="3">
        <v>14.33</v>
      </c>
      <c r="E2" s="3">
        <v>59</v>
      </c>
      <c r="F2" s="3">
        <v>0.33900000000000002</v>
      </c>
      <c r="G2" s="3">
        <v>10.02</v>
      </c>
      <c r="H2" s="3">
        <v>3.1E-2</v>
      </c>
      <c r="I2" s="3">
        <v>7.2411722093000002</v>
      </c>
      <c r="J2" s="3">
        <v>0.4572</v>
      </c>
      <c r="K2" s="3">
        <v>19.5</v>
      </c>
      <c r="L2" s="3">
        <v>32.1</v>
      </c>
      <c r="M2" s="3">
        <v>289</v>
      </c>
      <c r="N2" s="3">
        <v>30631</v>
      </c>
      <c r="O2" s="4">
        <v>4.5999999999999996</v>
      </c>
      <c r="P2" s="171">
        <v>33079735</v>
      </c>
      <c r="Q2" s="171">
        <v>8277944</v>
      </c>
      <c r="R2" s="171">
        <v>25.024214976300001</v>
      </c>
      <c r="S2" s="7">
        <v>37.56451466</v>
      </c>
    </row>
    <row r="3" spans="1:20">
      <c r="A3" s="180" t="s">
        <v>340</v>
      </c>
      <c r="B3" s="2">
        <v>2.41</v>
      </c>
      <c r="C3" s="2">
        <v>9.6774193547999996</v>
      </c>
      <c r="D3" s="3">
        <v>7.83</v>
      </c>
      <c r="E3" s="3">
        <v>77</v>
      </c>
      <c r="F3" s="3">
        <v>0.49399999999999999</v>
      </c>
      <c r="G3" s="3">
        <v>2.012</v>
      </c>
      <c r="H3" s="3">
        <v>1.9E-2</v>
      </c>
      <c r="I3" s="3">
        <v>0.55691296089999998</v>
      </c>
      <c r="J3" s="3">
        <v>0.36720000000000003</v>
      </c>
      <c r="K3" s="3">
        <v>19</v>
      </c>
      <c r="L3" s="3">
        <v>32.9</v>
      </c>
      <c r="M3" s="3">
        <v>350.6</v>
      </c>
      <c r="N3" s="3">
        <v>20000</v>
      </c>
      <c r="O3" s="4">
        <v>4.5</v>
      </c>
      <c r="P3" s="171">
        <v>18192984</v>
      </c>
      <c r="Q3" s="171">
        <v>512967</v>
      </c>
      <c r="R3" s="171">
        <v>2.8195869352999998</v>
      </c>
      <c r="S3" s="7">
        <v>0.63936917000000004</v>
      </c>
      <c r="T3" s="7"/>
    </row>
    <row r="4" spans="1:20">
      <c r="A4" s="180" t="s">
        <v>341</v>
      </c>
      <c r="B4" s="2">
        <v>3.86</v>
      </c>
      <c r="C4" s="2">
        <v>19.354838709700001</v>
      </c>
      <c r="D4" s="3">
        <v>9.33</v>
      </c>
      <c r="E4" s="3">
        <v>79</v>
      </c>
      <c r="F4" s="3">
        <v>0.44900000000000001</v>
      </c>
      <c r="G4" s="3">
        <v>1.7030000000000001</v>
      </c>
      <c r="H4" s="3">
        <v>2.9000000000000001E-2</v>
      </c>
      <c r="I4" s="3">
        <v>1.5855143639</v>
      </c>
      <c r="J4" s="3">
        <v>0.31919999999999998</v>
      </c>
      <c r="K4" s="3">
        <v>19.399999999999999</v>
      </c>
      <c r="L4" s="3">
        <v>33.6</v>
      </c>
      <c r="M4" s="3">
        <v>348.2</v>
      </c>
      <c r="N4" s="3">
        <v>12500</v>
      </c>
      <c r="O4" s="4">
        <v>4.3</v>
      </c>
      <c r="P4" s="171">
        <v>22623043</v>
      </c>
      <c r="Q4" s="171">
        <v>435687</v>
      </c>
      <c r="R4" s="171">
        <v>1.9258549788999999</v>
      </c>
      <c r="S4" s="7">
        <v>0.34524535000000001</v>
      </c>
      <c r="T4" s="7"/>
    </row>
    <row r="5" spans="1:20">
      <c r="A5" s="180" t="s">
        <v>19</v>
      </c>
      <c r="B5" s="2">
        <v>6.22</v>
      </c>
      <c r="C5" s="2">
        <v>32.258064516099999</v>
      </c>
      <c r="D5" s="3">
        <v>11.75</v>
      </c>
      <c r="E5" s="3">
        <v>61</v>
      </c>
      <c r="F5" s="3">
        <v>0.28699999999999998</v>
      </c>
      <c r="G5" s="3">
        <v>0.61299999999999999</v>
      </c>
      <c r="H5" s="3">
        <v>4.5999999999999999E-2</v>
      </c>
      <c r="I5" s="3">
        <v>2.1946862184000002</v>
      </c>
      <c r="J5" s="3">
        <v>0.28199999999999997</v>
      </c>
      <c r="K5" s="3">
        <v>21</v>
      </c>
      <c r="L5" s="3">
        <v>33.700000000000003</v>
      </c>
      <c r="M5" s="3">
        <v>346.5</v>
      </c>
      <c r="N5" s="3">
        <v>30800</v>
      </c>
      <c r="O5" s="4">
        <v>4.2</v>
      </c>
      <c r="P5" s="171">
        <v>7372924</v>
      </c>
      <c r="Q5" s="171">
        <v>110903</v>
      </c>
      <c r="R5" s="171">
        <v>1.5</v>
      </c>
      <c r="S5" s="7">
        <v>5.6023589999999998E-2</v>
      </c>
      <c r="T5" s="7"/>
    </row>
    <row r="6" spans="1:20">
      <c r="A6" s="180" t="s">
        <v>20</v>
      </c>
      <c r="B6" s="2">
        <v>6.17</v>
      </c>
      <c r="C6" s="2">
        <v>41.935483871000002</v>
      </c>
      <c r="D6" s="3">
        <v>11.75</v>
      </c>
      <c r="E6" s="3">
        <v>53</v>
      </c>
      <c r="F6" s="3">
        <v>0.27600000000000002</v>
      </c>
      <c r="G6" s="3">
        <v>0.94299999999999995</v>
      </c>
      <c r="H6" s="3">
        <v>4.3999999999999997E-2</v>
      </c>
      <c r="I6" s="3">
        <v>2.8942469412</v>
      </c>
      <c r="J6" s="3">
        <v>0.26519999999999999</v>
      </c>
      <c r="K6" s="3">
        <v>21.6</v>
      </c>
      <c r="L6" s="3">
        <v>33.9</v>
      </c>
      <c r="M6" s="3">
        <v>338.8</v>
      </c>
      <c r="N6" s="3">
        <v>252500</v>
      </c>
      <c r="O6" s="4">
        <v>4</v>
      </c>
      <c r="P6" s="171">
        <v>19841307</v>
      </c>
      <c r="Q6" s="171">
        <v>967026</v>
      </c>
      <c r="R6" s="171">
        <v>4.8738019123000003</v>
      </c>
      <c r="S6" s="7">
        <v>4.1793595100000003</v>
      </c>
      <c r="T6" s="7"/>
    </row>
    <row r="7" spans="1:20">
      <c r="A7" s="179" t="s">
        <v>342</v>
      </c>
      <c r="B7" s="2">
        <v>2</v>
      </c>
      <c r="C7" s="2">
        <v>54.838709677399997</v>
      </c>
      <c r="D7" s="3">
        <v>7.67</v>
      </c>
      <c r="E7" s="3">
        <v>93</v>
      </c>
      <c r="F7" s="3">
        <v>0.995</v>
      </c>
      <c r="G7" s="3">
        <v>1.2629999999999999</v>
      </c>
      <c r="H7" s="3">
        <v>0.112</v>
      </c>
      <c r="I7" s="3">
        <v>4.5780411841999999</v>
      </c>
      <c r="J7" s="3">
        <v>0.25800000000000001</v>
      </c>
      <c r="K7" s="3">
        <v>21.8</v>
      </c>
      <c r="L7" s="3">
        <v>34.1</v>
      </c>
      <c r="M7" s="3">
        <v>202.6</v>
      </c>
      <c r="N7" s="3">
        <v>122000</v>
      </c>
      <c r="O7" s="4">
        <v>3</v>
      </c>
      <c r="P7" s="171">
        <v>31619145</v>
      </c>
      <c r="Q7" s="171">
        <v>15898291</v>
      </c>
      <c r="R7" s="171">
        <v>50.280584753299998</v>
      </c>
      <c r="S7" s="7">
        <v>48.047227880000001</v>
      </c>
      <c r="T7" s="7"/>
    </row>
    <row r="8" spans="1:20">
      <c r="A8" s="179" t="s">
        <v>343</v>
      </c>
      <c r="B8" s="2">
        <v>3.53</v>
      </c>
      <c r="C8" s="2">
        <v>64.5161290323</v>
      </c>
      <c r="D8" s="3">
        <v>9.25</v>
      </c>
      <c r="E8" s="3">
        <v>107</v>
      </c>
      <c r="F8" s="3">
        <v>0.42399999999999999</v>
      </c>
      <c r="G8" s="3">
        <v>0.751</v>
      </c>
      <c r="H8" s="3">
        <v>0.122</v>
      </c>
      <c r="I8" s="3">
        <v>4.9646981417999996</v>
      </c>
      <c r="J8" s="3">
        <v>0.25440000000000002</v>
      </c>
      <c r="K8" s="3">
        <v>22.2</v>
      </c>
      <c r="L8" s="3">
        <v>34.1</v>
      </c>
      <c r="M8" s="3">
        <v>242.3</v>
      </c>
      <c r="N8" s="3">
        <v>103900</v>
      </c>
      <c r="O8" s="4">
        <v>3.25</v>
      </c>
      <c r="P8" s="171">
        <v>15512632</v>
      </c>
      <c r="Q8" s="171">
        <v>4592918</v>
      </c>
      <c r="R8" s="171">
        <v>29.6075997935</v>
      </c>
      <c r="S8" s="7">
        <v>26.94104218</v>
      </c>
      <c r="T8" s="7"/>
    </row>
    <row r="9" spans="1:20">
      <c r="A9" s="179" t="s">
        <v>344</v>
      </c>
      <c r="B9" s="2">
        <v>6.28</v>
      </c>
      <c r="C9" s="2">
        <v>77.419354838700002</v>
      </c>
      <c r="D9" s="3">
        <v>12.08</v>
      </c>
      <c r="E9" s="3">
        <v>61</v>
      </c>
      <c r="F9" s="3">
        <v>1.1519999999999999</v>
      </c>
      <c r="G9" s="3">
        <v>1.2170000000000001</v>
      </c>
      <c r="H9" s="3">
        <v>0.214</v>
      </c>
      <c r="I9" s="3">
        <v>5.3513550993000001</v>
      </c>
      <c r="J9" s="3">
        <v>0.246</v>
      </c>
      <c r="K9" s="3">
        <v>21.6</v>
      </c>
      <c r="L9" s="3">
        <v>34</v>
      </c>
      <c r="M9" s="3">
        <v>208.4</v>
      </c>
      <c r="N9" s="3">
        <v>41400</v>
      </c>
      <c r="O9" s="4">
        <v>5</v>
      </c>
      <c r="P9" s="171">
        <v>10884836</v>
      </c>
      <c r="Q9" s="171">
        <v>5120818</v>
      </c>
      <c r="R9" s="171">
        <v>47.0454309096</v>
      </c>
      <c r="S9" s="7">
        <v>30.04614943</v>
      </c>
      <c r="T9" s="7"/>
    </row>
    <row r="10" spans="1:20">
      <c r="A10" s="179" t="s">
        <v>345</v>
      </c>
      <c r="B10" s="2">
        <v>6.46</v>
      </c>
      <c r="C10" s="2">
        <v>87.096774193499996</v>
      </c>
      <c r="D10" s="3">
        <v>12.33</v>
      </c>
      <c r="E10" s="3">
        <v>38</v>
      </c>
      <c r="F10" s="3">
        <v>1.7070000000000001</v>
      </c>
      <c r="G10" s="3">
        <v>8.0709999999999997</v>
      </c>
      <c r="H10" s="3">
        <v>0.312</v>
      </c>
      <c r="I10" s="3">
        <v>13.681725397399999</v>
      </c>
      <c r="J10" s="3">
        <v>0.2616</v>
      </c>
      <c r="K10" s="3">
        <v>21.9</v>
      </c>
      <c r="L10" s="3">
        <v>33.5</v>
      </c>
      <c r="M10" s="3">
        <v>296.39999999999998</v>
      </c>
      <c r="N10" s="3">
        <v>203224</v>
      </c>
      <c r="O10" s="4">
        <v>2.75</v>
      </c>
      <c r="P10" s="171">
        <v>21585379</v>
      </c>
      <c r="Q10" s="171">
        <v>11955464</v>
      </c>
      <c r="R10" s="171">
        <v>55.386861634399999</v>
      </c>
      <c r="S10" s="7">
        <v>42.860144120000001</v>
      </c>
      <c r="T10" s="7"/>
    </row>
    <row r="11" spans="1:20">
      <c r="A11" s="179" t="s">
        <v>346</v>
      </c>
      <c r="B11" s="2">
        <v>9.48</v>
      </c>
      <c r="C11" s="2">
        <v>100</v>
      </c>
      <c r="D11" s="3">
        <v>15.43</v>
      </c>
      <c r="E11" s="3">
        <v>70</v>
      </c>
      <c r="F11" s="3">
        <v>0.72499999999999998</v>
      </c>
      <c r="G11" s="3">
        <v>2.06</v>
      </c>
      <c r="H11" s="3">
        <v>0.23100000000000001</v>
      </c>
      <c r="I11" s="3">
        <v>14.174440433799999</v>
      </c>
      <c r="J11" s="3">
        <v>0.2112</v>
      </c>
      <c r="K11" s="3">
        <v>22</v>
      </c>
      <c r="L11" s="3">
        <v>33.700000000000003</v>
      </c>
      <c r="M11" s="3">
        <v>229.2</v>
      </c>
      <c r="N11" s="3">
        <v>7900</v>
      </c>
      <c r="O11" s="4">
        <v>5.5</v>
      </c>
      <c r="P11" s="171">
        <v>20281772</v>
      </c>
      <c r="Q11" s="171">
        <v>2198723</v>
      </c>
      <c r="R11" s="171">
        <v>10.8408821478</v>
      </c>
      <c r="S11" s="7">
        <v>15.81545831</v>
      </c>
      <c r="T11" s="7"/>
    </row>
    <row r="12" spans="1:20">
      <c r="A12" s="181" t="s">
        <v>347</v>
      </c>
      <c r="P12" s="171"/>
      <c r="Q12" s="171"/>
      <c r="R12" s="171"/>
      <c r="S12" s="7"/>
      <c r="T12" s="7"/>
    </row>
    <row r="13" spans="1:20">
      <c r="A13" s="179" t="s">
        <v>348</v>
      </c>
      <c r="B13" s="2">
        <v>2.88</v>
      </c>
      <c r="C13" s="2">
        <v>0</v>
      </c>
      <c r="D13" s="3">
        <v>8.25</v>
      </c>
      <c r="E13" s="3">
        <v>85</v>
      </c>
      <c r="F13" s="3">
        <v>0.95599999999999996</v>
      </c>
      <c r="G13" s="3">
        <v>14.5882342857</v>
      </c>
      <c r="H13" s="3">
        <v>0.1966571429</v>
      </c>
      <c r="I13" s="3">
        <v>6.04</v>
      </c>
      <c r="J13" s="3">
        <v>1.236</v>
      </c>
      <c r="K13" s="3">
        <v>16.100000000000001</v>
      </c>
      <c r="L13" s="3">
        <v>30.9</v>
      </c>
      <c r="M13" s="3">
        <v>177.1</v>
      </c>
      <c r="N13" s="3">
        <v>10700</v>
      </c>
      <c r="O13" s="4">
        <v>7.25</v>
      </c>
      <c r="P13" s="171">
        <v>19328092</v>
      </c>
      <c r="Q13" s="171">
        <v>3195933</v>
      </c>
      <c r="R13" s="171">
        <v>16.5351706728</v>
      </c>
      <c r="S13" s="7">
        <v>20.980132640000001</v>
      </c>
      <c r="T13" s="7"/>
    </row>
    <row r="14" spans="1:20">
      <c r="A14" s="179" t="s">
        <v>349</v>
      </c>
      <c r="B14" s="2">
        <v>2.67</v>
      </c>
      <c r="C14" s="2">
        <v>5</v>
      </c>
      <c r="D14" s="3">
        <v>8</v>
      </c>
      <c r="E14" s="3">
        <v>61</v>
      </c>
      <c r="F14" s="3">
        <v>1.5469999999999999</v>
      </c>
      <c r="G14" s="3">
        <v>16.968228571400001</v>
      </c>
      <c r="H14" s="3">
        <v>0.2737142857</v>
      </c>
      <c r="I14" s="3">
        <v>7.07</v>
      </c>
      <c r="J14" s="3">
        <v>0.9768</v>
      </c>
      <c r="K14" s="3">
        <v>16.899999999999999</v>
      </c>
      <c r="L14" s="3">
        <v>31</v>
      </c>
      <c r="M14" s="3">
        <v>133.19999999999999</v>
      </c>
      <c r="N14" s="3">
        <v>90000</v>
      </c>
      <c r="O14" s="4">
        <v>4.9000000000000004</v>
      </c>
      <c r="P14" s="171">
        <v>24931017</v>
      </c>
      <c r="Q14" s="171">
        <v>6277695</v>
      </c>
      <c r="R14" s="171">
        <v>25.1802603961</v>
      </c>
      <c r="S14" s="7">
        <v>30.186208390000001</v>
      </c>
      <c r="T14" s="7"/>
    </row>
    <row r="15" spans="1:20">
      <c r="A15" s="179" t="s">
        <v>350</v>
      </c>
      <c r="B15" s="2">
        <v>6.2</v>
      </c>
      <c r="C15" s="2">
        <v>8.75</v>
      </c>
      <c r="D15" s="3">
        <v>11.5</v>
      </c>
      <c r="E15" s="3">
        <v>42</v>
      </c>
      <c r="F15" s="3">
        <v>8.7999999999999995E-2</v>
      </c>
      <c r="G15" s="3">
        <v>10.2982342857</v>
      </c>
      <c r="H15" s="3">
        <v>0.25165714290000002</v>
      </c>
      <c r="I15" s="3">
        <v>5.84</v>
      </c>
      <c r="J15" s="3">
        <v>0.83640000000000003</v>
      </c>
      <c r="K15" s="3">
        <v>16.8</v>
      </c>
      <c r="L15" s="3">
        <v>30.9</v>
      </c>
      <c r="M15" s="3">
        <v>210</v>
      </c>
      <c r="N15" s="3">
        <v>1052002</v>
      </c>
      <c r="O15" s="4">
        <v>4.62</v>
      </c>
      <c r="P15" s="171">
        <v>22413077</v>
      </c>
      <c r="Q15" s="171">
        <v>11529143</v>
      </c>
      <c r="R15" s="171">
        <v>51.439358370999997</v>
      </c>
      <c r="S15" s="7">
        <v>40.541467959999999</v>
      </c>
      <c r="T15" s="7"/>
    </row>
    <row r="16" spans="1:20">
      <c r="A16" s="179" t="s">
        <v>351</v>
      </c>
      <c r="B16" s="2">
        <v>8.65</v>
      </c>
      <c r="C16" s="2">
        <v>13.75</v>
      </c>
      <c r="D16" s="3">
        <v>13.92</v>
      </c>
      <c r="E16" s="3">
        <v>68</v>
      </c>
      <c r="F16" s="3">
        <v>8.3000000000000004E-2</v>
      </c>
      <c r="G16" s="3">
        <v>7.3782285714000002</v>
      </c>
      <c r="H16" s="3">
        <v>0.2037142857</v>
      </c>
      <c r="I16" s="3">
        <v>5.17</v>
      </c>
      <c r="J16" s="3">
        <v>0.67800000000000005</v>
      </c>
      <c r="K16" s="3">
        <v>18.100000000000001</v>
      </c>
      <c r="L16" s="3">
        <v>31</v>
      </c>
      <c r="M16" s="3">
        <v>285.89999999999998</v>
      </c>
      <c r="N16" s="3">
        <v>216500</v>
      </c>
      <c r="O16" s="4">
        <v>2.125</v>
      </c>
      <c r="P16" s="171">
        <v>28604242</v>
      </c>
      <c r="Q16" s="171">
        <v>16482841</v>
      </c>
      <c r="R16" s="171">
        <v>57.623764335399997</v>
      </c>
      <c r="S16" s="7">
        <v>43.825850680000002</v>
      </c>
      <c r="T16" s="7"/>
    </row>
    <row r="17" spans="1:20">
      <c r="A17" s="179" t="s">
        <v>352</v>
      </c>
      <c r="B17" s="2">
        <v>1.98</v>
      </c>
      <c r="C17" s="2">
        <v>17.5</v>
      </c>
      <c r="D17" s="3">
        <v>7.25</v>
      </c>
      <c r="E17" s="3">
        <v>93</v>
      </c>
      <c r="F17" s="3">
        <v>0.44</v>
      </c>
      <c r="G17" s="3">
        <v>3.32816</v>
      </c>
      <c r="H17" s="3">
        <v>0.1714</v>
      </c>
      <c r="I17" s="3">
        <v>4.3499999999999996</v>
      </c>
      <c r="J17" s="3">
        <v>0.56999999999999995</v>
      </c>
      <c r="K17" s="3">
        <v>18</v>
      </c>
      <c r="L17" s="3">
        <v>32.200000000000003</v>
      </c>
      <c r="M17" s="3">
        <v>357.6</v>
      </c>
      <c r="N17" s="3">
        <v>40700</v>
      </c>
      <c r="O17" s="4">
        <v>5.5</v>
      </c>
      <c r="P17" s="171">
        <v>11257091</v>
      </c>
      <c r="Q17" s="171">
        <v>3979672</v>
      </c>
      <c r="R17" s="171">
        <v>35.3525790988</v>
      </c>
      <c r="S17" s="7">
        <v>24.457796729999998</v>
      </c>
      <c r="T17" s="7"/>
    </row>
    <row r="18" spans="1:20">
      <c r="A18" s="179" t="s">
        <v>353</v>
      </c>
      <c r="B18" s="2">
        <v>2.97</v>
      </c>
      <c r="C18" s="2">
        <v>21.25</v>
      </c>
      <c r="D18" s="3">
        <v>8.2200000000000006</v>
      </c>
      <c r="E18" s="3">
        <v>98</v>
      </c>
      <c r="F18" s="3">
        <v>0.30099999999999999</v>
      </c>
      <c r="G18" s="3">
        <v>1.3381085714000001</v>
      </c>
      <c r="H18" s="3">
        <v>0.2359142857</v>
      </c>
      <c r="I18" s="3">
        <v>3.25</v>
      </c>
      <c r="J18" s="3">
        <v>0.51480000000000004</v>
      </c>
      <c r="K18" s="3">
        <v>18.399999999999999</v>
      </c>
      <c r="L18" s="3">
        <v>33.1</v>
      </c>
      <c r="M18" s="3">
        <v>345.4</v>
      </c>
      <c r="N18" s="3">
        <v>403000</v>
      </c>
      <c r="O18" s="4">
        <v>4.2</v>
      </c>
      <c r="P18" s="171">
        <v>6992704</v>
      </c>
      <c r="Q18" s="171">
        <v>3171918</v>
      </c>
      <c r="R18" s="171">
        <v>45.360392775100003</v>
      </c>
      <c r="S18" s="7">
        <v>22.029874580000001</v>
      </c>
      <c r="T18" s="7"/>
    </row>
    <row r="19" spans="1:20">
      <c r="A19" s="181" t="s">
        <v>354</v>
      </c>
      <c r="P19" s="171"/>
      <c r="Q19" s="171"/>
      <c r="R19" s="171"/>
      <c r="S19" s="7"/>
      <c r="T19" s="7"/>
    </row>
    <row r="20" spans="1:20">
      <c r="A20" s="179" t="s">
        <v>355</v>
      </c>
      <c r="B20" s="2">
        <v>8.23</v>
      </c>
      <c r="C20" s="2">
        <v>30</v>
      </c>
      <c r="D20" s="3">
        <v>13.5</v>
      </c>
      <c r="E20" s="3">
        <v>61</v>
      </c>
      <c r="F20" s="3">
        <v>0.254</v>
      </c>
      <c r="G20" s="3">
        <v>3.1881142857000002</v>
      </c>
      <c r="H20" s="3">
        <v>0.23485714290000001</v>
      </c>
      <c r="I20" s="3">
        <v>4.13</v>
      </c>
      <c r="J20" s="3">
        <v>0.39240000000000003</v>
      </c>
      <c r="K20" s="3">
        <v>20.5</v>
      </c>
      <c r="L20" s="3">
        <v>33</v>
      </c>
      <c r="M20" s="3">
        <v>333.2</v>
      </c>
      <c r="N20" s="3">
        <v>191100</v>
      </c>
      <c r="O20" s="4">
        <v>3</v>
      </c>
      <c r="P20" s="171">
        <v>23660321</v>
      </c>
      <c r="Q20" s="171">
        <v>9710098</v>
      </c>
      <c r="R20" s="171">
        <v>41.039586910099999</v>
      </c>
      <c r="S20" s="7">
        <v>37.415351860000001</v>
      </c>
      <c r="T20" s="7"/>
    </row>
    <row r="21" spans="1:20">
      <c r="A21" s="180" t="s">
        <v>21</v>
      </c>
      <c r="B21" s="2">
        <v>2.0299999999999998</v>
      </c>
      <c r="C21" s="2">
        <v>35</v>
      </c>
      <c r="D21" s="3">
        <v>7.33</v>
      </c>
      <c r="E21" s="3">
        <v>78</v>
      </c>
      <c r="F21" s="3">
        <v>0.34100000000000003</v>
      </c>
      <c r="G21" s="3">
        <v>0.51807999999999998</v>
      </c>
      <c r="H21" s="3">
        <v>0.20619999999999999</v>
      </c>
      <c r="I21" s="3">
        <v>3.27</v>
      </c>
      <c r="J21" s="3">
        <v>0.37319999999999998</v>
      </c>
      <c r="K21" s="3">
        <v>20.6</v>
      </c>
      <c r="L21" s="3">
        <v>33.6</v>
      </c>
      <c r="M21" s="3">
        <v>219.5</v>
      </c>
      <c r="N21" s="3">
        <v>5200</v>
      </c>
      <c r="O21" s="4">
        <v>4.25</v>
      </c>
      <c r="P21" s="171">
        <v>22208403</v>
      </c>
      <c r="Q21" s="171">
        <v>667027</v>
      </c>
      <c r="R21" s="171">
        <v>3.0034892648999998</v>
      </c>
      <c r="S21" s="7">
        <v>3.5238835499999999</v>
      </c>
      <c r="T21" s="7"/>
    </row>
    <row r="22" spans="1:20">
      <c r="A22" s="179" t="s">
        <v>356</v>
      </c>
      <c r="B22" s="2">
        <v>2.35</v>
      </c>
      <c r="C22" s="2">
        <v>38.75</v>
      </c>
      <c r="D22" s="3">
        <v>7.67</v>
      </c>
      <c r="E22" s="3">
        <v>77</v>
      </c>
      <c r="F22" s="3">
        <v>0.51200000000000001</v>
      </c>
      <c r="G22" s="3">
        <v>1.7980914286</v>
      </c>
      <c r="H22" s="3">
        <v>0.18208571430000001</v>
      </c>
      <c r="I22" s="3">
        <v>5.62</v>
      </c>
      <c r="J22" s="3">
        <v>0.37919999999999998</v>
      </c>
      <c r="K22" s="3">
        <v>20</v>
      </c>
      <c r="L22" s="3">
        <v>33.4</v>
      </c>
      <c r="M22" s="3">
        <v>133.30000000000001</v>
      </c>
      <c r="N22" s="3">
        <v>5800</v>
      </c>
      <c r="O22" s="4">
        <v>7</v>
      </c>
      <c r="P22" s="171">
        <v>20413348</v>
      </c>
      <c r="Q22" s="171">
        <v>1660251</v>
      </c>
      <c r="R22" s="171">
        <v>8.1331636535000005</v>
      </c>
      <c r="S22" s="7">
        <v>12.049272739999999</v>
      </c>
      <c r="T22" s="7"/>
    </row>
    <row r="23" spans="1:20">
      <c r="A23" s="179" t="s">
        <v>357</v>
      </c>
      <c r="B23" s="2">
        <v>1.2</v>
      </c>
      <c r="C23" s="2">
        <v>52.5</v>
      </c>
      <c r="D23" s="3">
        <v>6.67</v>
      </c>
      <c r="E23" s="3">
        <v>81</v>
      </c>
      <c r="F23" s="3">
        <v>0.81200000000000006</v>
      </c>
      <c r="G23" s="3">
        <v>2.9981485713999998</v>
      </c>
      <c r="H23" s="3">
        <v>0.33251428570000002</v>
      </c>
      <c r="I23" s="3">
        <v>10.41</v>
      </c>
      <c r="J23" s="3">
        <v>0.39479999999999998</v>
      </c>
      <c r="K23" s="3">
        <v>19.2</v>
      </c>
      <c r="L23" s="3">
        <v>32.4</v>
      </c>
      <c r="M23" s="3">
        <v>217.6</v>
      </c>
      <c r="N23" s="3">
        <v>26000</v>
      </c>
      <c r="O23" s="4">
        <v>6.25</v>
      </c>
      <c r="P23" s="171">
        <v>27615900</v>
      </c>
      <c r="Q23" s="171">
        <v>4442894</v>
      </c>
      <c r="R23" s="171">
        <v>16.088173841900002</v>
      </c>
      <c r="S23" s="7">
        <v>25.4907316</v>
      </c>
      <c r="T23" s="7"/>
    </row>
    <row r="24" spans="1:20">
      <c r="A24" s="179" t="s">
        <v>358</v>
      </c>
      <c r="B24" s="2">
        <v>2.97</v>
      </c>
      <c r="C24" s="2">
        <v>57.5</v>
      </c>
      <c r="D24" s="3">
        <v>8.5</v>
      </c>
      <c r="E24" s="3">
        <v>106</v>
      </c>
      <c r="F24" s="3">
        <v>0.248</v>
      </c>
      <c r="G24" s="3">
        <v>0.80809714290000001</v>
      </c>
      <c r="H24" s="3">
        <v>0.31002857140000001</v>
      </c>
      <c r="I24" s="3">
        <v>7.66</v>
      </c>
      <c r="J24" s="3">
        <v>0.37919999999999998</v>
      </c>
      <c r="K24" s="3">
        <v>19.3</v>
      </c>
      <c r="L24" s="3">
        <v>33.299999999999997</v>
      </c>
      <c r="M24" s="3">
        <v>230.5</v>
      </c>
      <c r="N24" s="3">
        <v>9200</v>
      </c>
      <c r="O24" s="4">
        <v>3.4750000000000001</v>
      </c>
      <c r="P24" s="171">
        <v>31945265</v>
      </c>
      <c r="Q24" s="171">
        <v>6372299</v>
      </c>
      <c r="R24" s="171">
        <v>19.9475540428</v>
      </c>
      <c r="S24" s="7">
        <v>30.89280587</v>
      </c>
      <c r="T24" s="7"/>
    </row>
    <row r="25" spans="1:20">
      <c r="A25" s="179" t="s">
        <v>359</v>
      </c>
      <c r="B25" s="2">
        <v>3.59</v>
      </c>
      <c r="C25" s="2">
        <v>61.25</v>
      </c>
      <c r="D25" s="3">
        <v>9.17</v>
      </c>
      <c r="E25" s="3">
        <v>78</v>
      </c>
      <c r="F25" s="3">
        <v>0.71299999999999997</v>
      </c>
      <c r="G25" s="3">
        <v>1.1580742856999999</v>
      </c>
      <c r="H25" s="3">
        <v>0.32225714290000002</v>
      </c>
      <c r="I25" s="3">
        <v>8.0299999999999994</v>
      </c>
      <c r="J25" s="3">
        <v>0.35520000000000002</v>
      </c>
      <c r="K25" s="3">
        <v>20.399999999999999</v>
      </c>
      <c r="L25" s="3">
        <v>33.700000000000003</v>
      </c>
      <c r="M25" s="3">
        <v>168.7</v>
      </c>
      <c r="N25" s="3">
        <v>18000</v>
      </c>
      <c r="O25" s="4">
        <v>1.72</v>
      </c>
      <c r="P25" s="171">
        <v>23089263</v>
      </c>
      <c r="Q25" s="171">
        <v>6361295</v>
      </c>
      <c r="R25" s="171">
        <v>27.5508793849</v>
      </c>
      <c r="S25" s="7">
        <v>30.950230049999998</v>
      </c>
      <c r="T25" s="7"/>
    </row>
    <row r="26" spans="1:20">
      <c r="A26" s="179" t="s">
        <v>360</v>
      </c>
      <c r="B26" s="2">
        <v>6.29</v>
      </c>
      <c r="C26" s="2">
        <v>65</v>
      </c>
      <c r="D26" s="3">
        <v>11.92</v>
      </c>
      <c r="E26" s="3">
        <v>48</v>
      </c>
      <c r="F26" s="3">
        <v>0.56799999999999995</v>
      </c>
      <c r="G26" s="3">
        <v>1.1380628571</v>
      </c>
      <c r="H26" s="3">
        <v>0.33037142860000002</v>
      </c>
      <c r="I26" s="3">
        <v>9.59</v>
      </c>
      <c r="J26" s="3">
        <v>0.33119999999999999</v>
      </c>
      <c r="K26" s="3">
        <v>21.1</v>
      </c>
      <c r="L26" s="3">
        <v>33.9</v>
      </c>
      <c r="M26" s="3">
        <v>289.39999999999998</v>
      </c>
      <c r="N26" s="3">
        <v>93100</v>
      </c>
      <c r="O26" s="4">
        <v>6</v>
      </c>
      <c r="P26" s="171">
        <v>30080717</v>
      </c>
      <c r="Q26" s="171">
        <v>3006895</v>
      </c>
      <c r="R26" s="171">
        <v>9.9960881916000002</v>
      </c>
      <c r="S26" s="7">
        <v>20.15098356</v>
      </c>
      <c r="T26" s="7"/>
    </row>
    <row r="27" spans="1:20">
      <c r="A27" s="180" t="s">
        <v>22</v>
      </c>
      <c r="B27" s="2">
        <v>1.95</v>
      </c>
      <c r="C27" s="2">
        <v>70</v>
      </c>
      <c r="D27" s="3">
        <v>7.67</v>
      </c>
      <c r="E27" s="3">
        <v>68</v>
      </c>
      <c r="F27" s="3">
        <v>1.085</v>
      </c>
      <c r="G27" s="3">
        <v>4.7181028570999999</v>
      </c>
      <c r="H27" s="3">
        <v>0.39997142860000001</v>
      </c>
      <c r="I27" s="3">
        <v>7.81</v>
      </c>
      <c r="J27" s="3">
        <v>0.28079999999999999</v>
      </c>
      <c r="K27" s="3">
        <v>21.7</v>
      </c>
      <c r="L27" s="3">
        <v>33.200000000000003</v>
      </c>
      <c r="M27" s="3">
        <v>315.3</v>
      </c>
      <c r="N27" s="3">
        <v>5700</v>
      </c>
      <c r="O27" s="4">
        <v>6</v>
      </c>
      <c r="P27" s="171">
        <v>10592028</v>
      </c>
      <c r="Q27" s="171">
        <v>693535</v>
      </c>
      <c r="R27" s="171">
        <v>6.5477073890000002</v>
      </c>
      <c r="S27" s="7">
        <v>3.4580558400000001</v>
      </c>
      <c r="T27" s="7"/>
    </row>
    <row r="28" spans="1:20">
      <c r="A28" s="179" t="s">
        <v>361</v>
      </c>
      <c r="B28" s="2">
        <v>11</v>
      </c>
      <c r="C28" s="2">
        <v>73.75</v>
      </c>
      <c r="D28" s="3">
        <v>16.78</v>
      </c>
      <c r="E28" s="3">
        <v>81</v>
      </c>
      <c r="F28" s="3">
        <v>4.2999999999999997E-2</v>
      </c>
      <c r="G28" s="3">
        <v>0.06</v>
      </c>
      <c r="H28" s="3">
        <v>0.2834285714</v>
      </c>
      <c r="I28" s="3">
        <v>3.94</v>
      </c>
      <c r="J28" s="3">
        <v>0.25559999999999999</v>
      </c>
      <c r="K28" s="3">
        <v>21.6</v>
      </c>
      <c r="L28" s="3">
        <v>34</v>
      </c>
      <c r="M28" s="3">
        <v>251.3</v>
      </c>
      <c r="N28" s="3">
        <v>28900</v>
      </c>
      <c r="O28" s="4">
        <v>5</v>
      </c>
      <c r="P28" s="171">
        <v>28148606</v>
      </c>
      <c r="Q28" s="171">
        <v>2843598</v>
      </c>
      <c r="R28" s="171">
        <v>10.1020917341</v>
      </c>
      <c r="S28" s="7">
        <v>18.61103525</v>
      </c>
      <c r="T28" s="7"/>
    </row>
    <row r="29" spans="1:20">
      <c r="A29" s="181" t="s">
        <v>362</v>
      </c>
      <c r="P29" s="171"/>
      <c r="Q29" s="171"/>
      <c r="R29" s="171"/>
      <c r="S29" s="7"/>
      <c r="T29" s="7"/>
    </row>
    <row r="30" spans="1:20">
      <c r="A30" s="179" t="s">
        <v>363</v>
      </c>
      <c r="B30" s="2">
        <v>5.57</v>
      </c>
      <c r="C30" s="2">
        <v>82.5</v>
      </c>
      <c r="D30" s="3">
        <v>11.5</v>
      </c>
      <c r="E30" s="3">
        <v>48</v>
      </c>
      <c r="F30" s="3">
        <v>0.96199999999999997</v>
      </c>
      <c r="G30" s="3">
        <v>2.7180685713999999</v>
      </c>
      <c r="H30" s="3">
        <v>0.39431428569999999</v>
      </c>
      <c r="I30" s="3">
        <v>8.7100000000000009</v>
      </c>
      <c r="J30" s="3">
        <v>0.2424</v>
      </c>
      <c r="K30" s="3">
        <v>21.1</v>
      </c>
      <c r="L30" s="3">
        <v>33.799999999999997</v>
      </c>
      <c r="M30" s="3">
        <v>283.60000000000002</v>
      </c>
      <c r="N30" s="3">
        <v>44900</v>
      </c>
      <c r="O30" s="4">
        <v>5.5</v>
      </c>
      <c r="P30" s="171">
        <v>15972564</v>
      </c>
      <c r="Q30" s="171">
        <v>3994959</v>
      </c>
      <c r="R30" s="171">
        <v>25.011382017300001</v>
      </c>
      <c r="S30" s="7">
        <v>24.634271030000001</v>
      </c>
      <c r="T30" s="7"/>
    </row>
    <row r="31" spans="1:20">
      <c r="A31" s="181" t="s">
        <v>364</v>
      </c>
      <c r="P31" s="171"/>
      <c r="Q31" s="171"/>
      <c r="R31" s="171"/>
      <c r="S31" s="7"/>
      <c r="T31" s="7"/>
    </row>
    <row r="32" spans="1:20">
      <c r="A32" s="179" t="s">
        <v>365</v>
      </c>
      <c r="B32" s="2">
        <v>10.4</v>
      </c>
      <c r="C32" s="2">
        <v>91.25</v>
      </c>
      <c r="D32" s="3">
        <v>16.5</v>
      </c>
      <c r="E32" s="3">
        <v>110</v>
      </c>
      <c r="F32" s="3">
        <v>0.114</v>
      </c>
      <c r="G32" s="3">
        <v>0.01</v>
      </c>
      <c r="H32" s="3">
        <v>0.22631428570000001</v>
      </c>
      <c r="I32" s="3">
        <v>4.49</v>
      </c>
      <c r="J32" s="3">
        <v>0.49080000000000001</v>
      </c>
      <c r="K32" s="3">
        <v>20.100000000000001</v>
      </c>
      <c r="L32" s="3">
        <v>33.799999999999997</v>
      </c>
      <c r="M32" s="3">
        <v>229.8</v>
      </c>
      <c r="N32" s="3">
        <v>11200</v>
      </c>
      <c r="O32" s="4">
        <v>4.5</v>
      </c>
      <c r="P32" s="171">
        <v>14977588</v>
      </c>
      <c r="Q32" s="171">
        <v>1787267</v>
      </c>
      <c r="R32" s="171">
        <v>11.9329427408</v>
      </c>
      <c r="S32" s="7">
        <v>12.63962128</v>
      </c>
      <c r="T32" s="7"/>
    </row>
    <row r="33" spans="1:20">
      <c r="A33" s="180" t="s">
        <v>23</v>
      </c>
      <c r="B33" s="2">
        <v>2.83</v>
      </c>
      <c r="C33" s="2">
        <v>95</v>
      </c>
      <c r="D33" s="3">
        <v>9</v>
      </c>
      <c r="E33" s="3">
        <v>94</v>
      </c>
      <c r="F33" s="3">
        <v>0.28199999999999997</v>
      </c>
      <c r="G33" s="3">
        <v>0.53808</v>
      </c>
      <c r="H33" s="3">
        <v>0.2162</v>
      </c>
      <c r="I33" s="3">
        <v>4.79</v>
      </c>
      <c r="J33" s="3">
        <v>0.36359999999999998</v>
      </c>
      <c r="K33" s="3">
        <v>19.3</v>
      </c>
      <c r="L33" s="3">
        <v>33.6</v>
      </c>
      <c r="M33" s="3">
        <v>170.3</v>
      </c>
      <c r="N33" s="3">
        <v>18000</v>
      </c>
      <c r="O33" s="4">
        <v>4</v>
      </c>
      <c r="P33" s="171">
        <v>13372263</v>
      </c>
      <c r="Q33" s="171">
        <v>1116116</v>
      </c>
      <c r="R33" s="171">
        <v>8.3465005138000006</v>
      </c>
      <c r="S33" s="7">
        <v>7.2249416999999996</v>
      </c>
      <c r="T33" s="7"/>
    </row>
    <row r="34" spans="1:20">
      <c r="A34" s="179" t="s">
        <v>366</v>
      </c>
      <c r="B34" s="2">
        <v>5.25</v>
      </c>
      <c r="C34" s="2">
        <v>100</v>
      </c>
      <c r="D34" s="3">
        <v>11.5</v>
      </c>
      <c r="E34" s="3">
        <v>48</v>
      </c>
      <c r="F34" s="3">
        <v>1.3959999999999999</v>
      </c>
      <c r="G34" s="3">
        <v>2.3380857143</v>
      </c>
      <c r="H34" s="3">
        <v>0.3031428571</v>
      </c>
      <c r="I34" s="3">
        <v>6.67</v>
      </c>
      <c r="J34" s="3">
        <v>0.27360000000000001</v>
      </c>
      <c r="K34" s="3">
        <v>18.8</v>
      </c>
      <c r="L34" s="3">
        <v>33.5</v>
      </c>
      <c r="M34" s="3">
        <v>251.9</v>
      </c>
      <c r="N34" s="3">
        <v>9500</v>
      </c>
      <c r="O34" s="4">
        <v>6.5</v>
      </c>
      <c r="P34" s="171">
        <v>20670929</v>
      </c>
      <c r="Q34" s="171">
        <v>1762263</v>
      </c>
      <c r="R34" s="171">
        <v>8.5253207536000009</v>
      </c>
      <c r="S34" s="7">
        <v>12.32098714</v>
      </c>
      <c r="T34" s="7"/>
    </row>
    <row r="35" spans="1:20">
      <c r="A35" s="180" t="s">
        <v>24</v>
      </c>
      <c r="B35" s="2">
        <v>9.75</v>
      </c>
      <c r="C35" s="2">
        <v>0</v>
      </c>
      <c r="D35" s="3">
        <v>15</v>
      </c>
      <c r="E35" s="3">
        <v>87</v>
      </c>
      <c r="F35" s="3">
        <v>0.24</v>
      </c>
      <c r="G35" s="3">
        <v>0.85</v>
      </c>
      <c r="H35" s="3">
        <v>0.16</v>
      </c>
      <c r="I35" s="3">
        <v>5.69</v>
      </c>
      <c r="J35" s="3">
        <v>0.4032</v>
      </c>
      <c r="K35" s="3">
        <v>17.600000000000001</v>
      </c>
      <c r="L35" s="3">
        <v>33.4</v>
      </c>
      <c r="M35" s="3">
        <v>224.5</v>
      </c>
      <c r="N35" s="3">
        <v>2100</v>
      </c>
      <c r="O35" s="4">
        <v>6.25</v>
      </c>
      <c r="P35" s="171">
        <v>14938302</v>
      </c>
      <c r="Q35" s="171">
        <v>1044330</v>
      </c>
      <c r="R35" s="171">
        <v>6.9909551968999999</v>
      </c>
      <c r="S35" s="7">
        <v>7.4063180600000003</v>
      </c>
      <c r="T35" s="7"/>
    </row>
    <row r="36" spans="1:20">
      <c r="A36" s="180" t="s">
        <v>25</v>
      </c>
      <c r="B36" s="2">
        <v>2.73</v>
      </c>
      <c r="C36" s="2">
        <v>8.1632653060999996</v>
      </c>
      <c r="D36" s="3">
        <v>8</v>
      </c>
      <c r="E36" s="3">
        <v>85</v>
      </c>
      <c r="F36" s="3">
        <v>0.59</v>
      </c>
      <c r="G36" s="3">
        <v>1.91</v>
      </c>
      <c r="H36" s="3">
        <v>0.09</v>
      </c>
      <c r="I36" s="3">
        <v>4.71</v>
      </c>
      <c r="J36" s="3">
        <v>0.36120000000000002</v>
      </c>
      <c r="K36" s="3">
        <v>16.899999999999999</v>
      </c>
      <c r="L36" s="3">
        <v>33.299999999999997</v>
      </c>
      <c r="M36" s="3">
        <v>360.3</v>
      </c>
      <c r="N36" s="3">
        <v>3200</v>
      </c>
      <c r="O36" s="4">
        <v>7</v>
      </c>
      <c r="P36" s="171">
        <v>10279204</v>
      </c>
      <c r="Q36" s="171">
        <v>498081</v>
      </c>
      <c r="R36" s="171">
        <v>4.8455211123000002</v>
      </c>
      <c r="S36" s="7">
        <v>1.6814078699999999</v>
      </c>
      <c r="T36" s="7"/>
    </row>
    <row r="37" spans="1:20">
      <c r="A37" s="179" t="s">
        <v>367</v>
      </c>
      <c r="B37" s="2">
        <v>4.4800000000000004</v>
      </c>
      <c r="C37" s="2">
        <v>14.285714285699999</v>
      </c>
      <c r="D37" s="3">
        <v>9.75</v>
      </c>
      <c r="E37" s="3">
        <v>62</v>
      </c>
      <c r="F37" s="3">
        <v>0.73</v>
      </c>
      <c r="G37" s="3">
        <v>1.94</v>
      </c>
      <c r="H37" s="3">
        <v>7.0000000000000007E-2</v>
      </c>
      <c r="I37" s="3">
        <v>6.19</v>
      </c>
      <c r="J37" s="3">
        <v>0.31559999999999999</v>
      </c>
      <c r="K37" s="3">
        <v>19.399999999999999</v>
      </c>
      <c r="L37" s="3">
        <v>33.6</v>
      </c>
      <c r="M37" s="3">
        <v>148.69999999999999</v>
      </c>
      <c r="N37" s="3">
        <v>12000</v>
      </c>
      <c r="O37" s="4">
        <v>7</v>
      </c>
      <c r="P37" s="171">
        <v>21584555</v>
      </c>
      <c r="Q37" s="171">
        <v>4971001</v>
      </c>
      <c r="R37" s="171">
        <v>23.0303612931</v>
      </c>
      <c r="S37" s="7">
        <v>28.40675925</v>
      </c>
      <c r="T37" s="7"/>
    </row>
    <row r="38" spans="1:20">
      <c r="A38" s="179" t="s">
        <v>368</v>
      </c>
      <c r="B38" s="2">
        <v>5.9</v>
      </c>
      <c r="C38" s="2">
        <v>22.448979591800001</v>
      </c>
      <c r="D38" s="3">
        <v>11.18</v>
      </c>
      <c r="E38" s="3">
        <v>40</v>
      </c>
      <c r="F38" s="3">
        <v>1.05</v>
      </c>
      <c r="G38" s="3">
        <v>3.19</v>
      </c>
      <c r="H38" s="3">
        <v>0.12</v>
      </c>
      <c r="I38" s="3">
        <v>6.78</v>
      </c>
      <c r="J38" s="3">
        <v>0.28920000000000001</v>
      </c>
      <c r="K38" s="3">
        <v>20.100000000000001</v>
      </c>
      <c r="L38" s="3">
        <v>33.799999999999997</v>
      </c>
      <c r="M38" s="3">
        <v>122.1</v>
      </c>
      <c r="N38" s="3">
        <v>50000</v>
      </c>
      <c r="O38" s="4">
        <v>5</v>
      </c>
      <c r="P38" s="171">
        <v>20042093</v>
      </c>
      <c r="Q38" s="171">
        <v>4339344</v>
      </c>
      <c r="R38" s="171">
        <v>21.651151903100001</v>
      </c>
      <c r="S38" s="7">
        <v>26.938241000000001</v>
      </c>
      <c r="T38" s="7"/>
    </row>
    <row r="39" spans="1:20">
      <c r="A39" s="179" t="s">
        <v>369</v>
      </c>
      <c r="B39" s="2">
        <v>9.43</v>
      </c>
      <c r="C39" s="2">
        <v>28.571428571399998</v>
      </c>
      <c r="D39" s="3">
        <v>14.75</v>
      </c>
      <c r="E39" s="3">
        <v>64</v>
      </c>
      <c r="F39" s="3">
        <v>0.12</v>
      </c>
      <c r="G39" s="3">
        <v>0.33</v>
      </c>
      <c r="H39" s="3">
        <v>0.05</v>
      </c>
      <c r="I39" s="3">
        <v>4.3499999999999996</v>
      </c>
      <c r="J39" s="3">
        <v>0.27360000000000001</v>
      </c>
      <c r="K39" s="3">
        <v>20.7</v>
      </c>
      <c r="L39" s="3">
        <v>34</v>
      </c>
      <c r="M39" s="3">
        <v>316</v>
      </c>
      <c r="N39" s="3">
        <v>10200</v>
      </c>
      <c r="O39" s="4">
        <v>5</v>
      </c>
      <c r="P39" s="171">
        <v>25472682</v>
      </c>
      <c r="Q39" s="171">
        <v>3218067</v>
      </c>
      <c r="R39" s="171">
        <v>12.6334046804</v>
      </c>
      <c r="S39" s="7">
        <v>22.62792636</v>
      </c>
      <c r="T39" s="7"/>
    </row>
    <row r="40" spans="1:20">
      <c r="A40" s="180" t="s">
        <v>370</v>
      </c>
      <c r="B40" s="2">
        <v>2.15</v>
      </c>
      <c r="C40" s="2">
        <v>34.693877551</v>
      </c>
      <c r="D40" s="3">
        <v>7.5</v>
      </c>
      <c r="E40" s="3">
        <v>87</v>
      </c>
      <c r="F40" s="3">
        <v>0.56000000000000005</v>
      </c>
      <c r="G40" s="3">
        <v>0.755</v>
      </c>
      <c r="H40" s="3">
        <v>5.0428571399999997E-2</v>
      </c>
      <c r="I40" s="3">
        <v>1.826282975</v>
      </c>
      <c r="J40" s="3">
        <v>0.24779999999999999</v>
      </c>
      <c r="K40" s="3">
        <v>20.7</v>
      </c>
      <c r="L40" s="3">
        <v>34</v>
      </c>
      <c r="M40" s="3">
        <v>267.10000000000002</v>
      </c>
      <c r="N40" s="3">
        <v>1500</v>
      </c>
      <c r="O40" s="4">
        <v>5.2</v>
      </c>
      <c r="P40" s="171">
        <v>21836649</v>
      </c>
      <c r="Q40" s="171">
        <v>883173</v>
      </c>
      <c r="R40" s="171">
        <v>4.0444529744000004</v>
      </c>
      <c r="S40" s="7">
        <v>5.6114624299999996</v>
      </c>
      <c r="T40" s="7"/>
    </row>
    <row r="41" spans="1:20">
      <c r="A41" s="180" t="s">
        <v>371</v>
      </c>
      <c r="B41" s="2">
        <v>3.87</v>
      </c>
      <c r="C41" s="2">
        <v>42.857142857100001</v>
      </c>
      <c r="D41" s="3">
        <v>9.25</v>
      </c>
      <c r="E41" s="3">
        <v>91</v>
      </c>
      <c r="F41" s="3">
        <v>0.51700000000000002</v>
      </c>
      <c r="G41" s="3">
        <v>0.96750000000000003</v>
      </c>
      <c r="H41" s="3">
        <v>0.1054285714</v>
      </c>
      <c r="I41" s="3">
        <v>3.7118317616000001</v>
      </c>
      <c r="J41" s="3">
        <v>0.2349</v>
      </c>
      <c r="K41" s="3">
        <v>20.7</v>
      </c>
      <c r="L41" s="3">
        <v>34</v>
      </c>
      <c r="M41" s="3">
        <v>281.3</v>
      </c>
      <c r="N41" s="3">
        <v>3800</v>
      </c>
      <c r="O41" s="4">
        <v>5.0999999999999996</v>
      </c>
      <c r="P41" s="171">
        <v>12645201</v>
      </c>
      <c r="Q41" s="171">
        <v>876213</v>
      </c>
      <c r="R41" s="171">
        <v>6.9292136993</v>
      </c>
      <c r="S41" s="7">
        <v>5.8460611900000004</v>
      </c>
      <c r="T41" s="7"/>
    </row>
    <row r="42" spans="1:20">
      <c r="A42" s="179" t="s">
        <v>372</v>
      </c>
      <c r="B42" s="2">
        <v>4.07</v>
      </c>
      <c r="C42" s="2">
        <v>48.979591836700003</v>
      </c>
      <c r="D42" s="3">
        <v>9.5</v>
      </c>
      <c r="E42" s="3">
        <v>66</v>
      </c>
      <c r="F42" s="3">
        <v>2.06</v>
      </c>
      <c r="G42" s="3">
        <v>1.18</v>
      </c>
      <c r="H42" s="3">
        <v>0.12</v>
      </c>
      <c r="I42" s="3">
        <v>4.18</v>
      </c>
      <c r="J42" s="3">
        <v>0.222</v>
      </c>
      <c r="K42" s="3">
        <v>19.7</v>
      </c>
      <c r="L42" s="3">
        <v>34.200000000000003</v>
      </c>
      <c r="M42" s="3">
        <v>295.5</v>
      </c>
      <c r="N42" s="3">
        <v>4500</v>
      </c>
      <c r="O42" s="4">
        <v>5</v>
      </c>
      <c r="P42" s="171">
        <v>32796886</v>
      </c>
      <c r="Q42" s="171">
        <v>4285038</v>
      </c>
      <c r="R42" s="171">
        <v>13.065380658400001</v>
      </c>
      <c r="S42" s="7">
        <v>23.96829065</v>
      </c>
      <c r="T42" s="7"/>
    </row>
    <row r="43" spans="1:20">
      <c r="A43" s="181" t="s">
        <v>373</v>
      </c>
      <c r="P43" s="171"/>
      <c r="Q43" s="171"/>
      <c r="R43" s="171"/>
      <c r="S43" s="7"/>
      <c r="T43" s="7"/>
    </row>
    <row r="44" spans="1:20">
      <c r="A44" s="179" t="s">
        <v>374</v>
      </c>
      <c r="B44" s="2">
        <v>3.13</v>
      </c>
      <c r="C44" s="2">
        <v>71.428571428599994</v>
      </c>
      <c r="D44" s="3">
        <v>8.75</v>
      </c>
      <c r="E44" s="3">
        <v>76</v>
      </c>
      <c r="F44" s="3">
        <v>1.36</v>
      </c>
      <c r="G44" s="3">
        <v>10.18</v>
      </c>
      <c r="H44" s="3">
        <v>0.27</v>
      </c>
      <c r="I44" s="3">
        <v>10.9</v>
      </c>
      <c r="J44" s="3">
        <v>0.55679999999999996</v>
      </c>
      <c r="K44" s="3">
        <v>19.7</v>
      </c>
      <c r="L44" s="3">
        <v>34.1</v>
      </c>
      <c r="M44" s="3">
        <v>103.3</v>
      </c>
      <c r="N44" s="3">
        <v>4400</v>
      </c>
      <c r="O44" s="4">
        <v>5</v>
      </c>
      <c r="P44" s="171">
        <v>14845608</v>
      </c>
      <c r="Q44" s="171">
        <v>2245562</v>
      </c>
      <c r="R44" s="171">
        <v>15.1261032893</v>
      </c>
      <c r="S44" s="7">
        <v>16.153000410000001</v>
      </c>
      <c r="T44" s="7"/>
    </row>
    <row r="45" spans="1:20">
      <c r="A45" s="180" t="s">
        <v>26</v>
      </c>
      <c r="B45" s="2">
        <v>2.82</v>
      </c>
      <c r="C45" s="2">
        <v>77.551020408200003</v>
      </c>
      <c r="D45" s="3">
        <v>8.5</v>
      </c>
      <c r="E45" s="3">
        <v>52</v>
      </c>
      <c r="F45" s="3">
        <v>0.66</v>
      </c>
      <c r="G45" s="3">
        <v>1.49</v>
      </c>
      <c r="H45" s="3">
        <v>0.17</v>
      </c>
      <c r="I45" s="3">
        <v>8.5399999999999991</v>
      </c>
      <c r="J45" s="3">
        <v>0.25800000000000001</v>
      </c>
      <c r="K45" s="3">
        <v>20.2</v>
      </c>
      <c r="L45" s="3">
        <v>34.1</v>
      </c>
      <c r="M45" s="3">
        <v>133.19999999999999</v>
      </c>
      <c r="N45" s="3">
        <v>30000</v>
      </c>
      <c r="O45" s="4">
        <v>5</v>
      </c>
      <c r="P45" s="171">
        <v>15788227</v>
      </c>
      <c r="Q45" s="171">
        <v>1112721</v>
      </c>
      <c r="R45" s="171">
        <v>7.0477894699999997</v>
      </c>
      <c r="S45" s="7">
        <v>8.1178176000000004</v>
      </c>
      <c r="T45" s="7"/>
    </row>
    <row r="46" spans="1:20">
      <c r="A46" s="179" t="s">
        <v>375</v>
      </c>
      <c r="B46" s="2">
        <v>7.98</v>
      </c>
      <c r="C46" s="2">
        <v>85.714285714300004</v>
      </c>
      <c r="D46" s="3">
        <v>13.75</v>
      </c>
      <c r="E46" s="3">
        <v>47</v>
      </c>
      <c r="F46" s="3">
        <v>0.82</v>
      </c>
      <c r="G46" s="3">
        <v>19.54</v>
      </c>
      <c r="H46" s="3">
        <v>0.17</v>
      </c>
      <c r="I46" s="3">
        <v>10.91</v>
      </c>
      <c r="J46" s="3">
        <v>0.36599999999999999</v>
      </c>
      <c r="K46" s="3">
        <v>17.600000000000001</v>
      </c>
      <c r="L46" s="3">
        <v>34.1</v>
      </c>
      <c r="M46" s="3">
        <v>175.5</v>
      </c>
      <c r="N46" s="3">
        <v>29000</v>
      </c>
      <c r="O46" s="4">
        <v>5.2</v>
      </c>
      <c r="P46" s="171">
        <v>23255353</v>
      </c>
      <c r="Q46" s="171">
        <v>11058978</v>
      </c>
      <c r="R46" s="171">
        <v>47.5545479787</v>
      </c>
      <c r="S46" s="7">
        <v>34.792747749999997</v>
      </c>
      <c r="T46" s="7"/>
    </row>
    <row r="47" spans="1:20">
      <c r="A47" s="181" t="s">
        <v>376</v>
      </c>
      <c r="P47" s="171"/>
      <c r="Q47" s="171"/>
      <c r="R47" s="171"/>
      <c r="S47" s="7"/>
      <c r="T47" s="7"/>
    </row>
    <row r="48" spans="1:20">
      <c r="A48" s="181" t="s">
        <v>377</v>
      </c>
      <c r="P48" s="171"/>
      <c r="Q48" s="171"/>
      <c r="R48" s="171"/>
      <c r="S48" s="7"/>
      <c r="T48" s="7"/>
    </row>
    <row r="49" spans="1:20">
      <c r="A49" s="179" t="s">
        <v>378</v>
      </c>
      <c r="B49" s="2">
        <v>12.83</v>
      </c>
      <c r="C49" s="2">
        <v>100</v>
      </c>
      <c r="D49" s="3">
        <v>18.75</v>
      </c>
      <c r="E49" s="3">
        <v>104</v>
      </c>
      <c r="F49" s="3">
        <v>0.7</v>
      </c>
      <c r="G49" s="3">
        <v>0.72</v>
      </c>
      <c r="H49" s="3">
        <v>0.25</v>
      </c>
      <c r="I49" s="3">
        <v>6.24</v>
      </c>
      <c r="J49" s="3">
        <v>0.23400000000000001</v>
      </c>
      <c r="K49" s="3">
        <v>19.7</v>
      </c>
      <c r="L49" s="3">
        <v>34.1</v>
      </c>
      <c r="M49" s="3">
        <v>117</v>
      </c>
      <c r="N49" s="3">
        <v>9100</v>
      </c>
      <c r="O49" s="4">
        <v>5</v>
      </c>
      <c r="P49" s="171">
        <v>16200254</v>
      </c>
      <c r="Q49" s="171">
        <v>2681130</v>
      </c>
      <c r="R49" s="171">
        <v>16.549925698700001</v>
      </c>
      <c r="S49" s="7">
        <v>17.345602499999998</v>
      </c>
      <c r="T49" s="7"/>
    </row>
    <row r="58" spans="1:20">
      <c r="E58" s="1"/>
    </row>
    <row r="59" spans="1:20">
      <c r="E59" s="5"/>
    </row>
    <row r="60" spans="1:20">
      <c r="E60" s="8"/>
    </row>
    <row r="61" spans="1:20">
      <c r="E61" s="8"/>
    </row>
    <row r="62" spans="1:20">
      <c r="E62" s="9"/>
    </row>
    <row r="63" spans="1:20">
      <c r="E63" s="9"/>
    </row>
    <row r="64" spans="1:20">
      <c r="E64" s="6"/>
    </row>
    <row r="65" spans="5:5">
      <c r="E65" s="6"/>
    </row>
    <row r="66" spans="5:5">
      <c r="E66" s="6"/>
    </row>
    <row r="67" spans="5:5">
      <c r="E67" s="5"/>
    </row>
    <row r="68" spans="5:5">
      <c r="E68" s="5"/>
    </row>
    <row r="69" spans="5:5">
      <c r="E69" s="10"/>
    </row>
    <row r="70" spans="5:5">
      <c r="E70" s="6"/>
    </row>
    <row r="71" spans="5:5">
      <c r="E71" s="5"/>
    </row>
    <row r="72" spans="5:5">
      <c r="E72" s="5"/>
    </row>
    <row r="73" spans="5:5">
      <c r="E73" s="5"/>
    </row>
    <row r="74" spans="5:5">
      <c r="E74" s="6"/>
    </row>
    <row r="75" spans="5:5">
      <c r="E75" s="6"/>
    </row>
    <row r="76" spans="5:5">
      <c r="E76" s="11"/>
    </row>
    <row r="77" spans="5:5">
      <c r="E77" s="6"/>
    </row>
    <row r="78" spans="5:5">
      <c r="E78" s="9"/>
    </row>
    <row r="79" spans="5:5">
      <c r="E79" s="6"/>
    </row>
    <row r="80" spans="5:5">
      <c r="E80" s="5"/>
    </row>
    <row r="81" spans="5:5">
      <c r="E81" s="6"/>
    </row>
    <row r="82" spans="5:5">
      <c r="E82" s="6"/>
    </row>
    <row r="83" spans="5:5">
      <c r="E83" s="6"/>
    </row>
    <row r="84" spans="5:5">
      <c r="E84" s="9"/>
    </row>
    <row r="85" spans="5:5">
      <c r="E85" s="6"/>
    </row>
    <row r="86" spans="5:5">
      <c r="E86" s="11"/>
    </row>
    <row r="87" spans="5:5">
      <c r="E87" s="5"/>
    </row>
    <row r="88" spans="5:5">
      <c r="E88" s="11"/>
    </row>
    <row r="89" spans="5:5">
      <c r="E89" s="5"/>
    </row>
    <row r="90" spans="5:5">
      <c r="E90" s="9"/>
    </row>
    <row r="91" spans="5:5">
      <c r="E91" s="6"/>
    </row>
    <row r="92" spans="5:5">
      <c r="E92" s="9"/>
    </row>
    <row r="93" spans="5:5">
      <c r="E93" s="9"/>
    </row>
    <row r="94" spans="5:5">
      <c r="E94" s="6"/>
    </row>
    <row r="95" spans="5:5">
      <c r="E95" s="6"/>
    </row>
    <row r="96" spans="5:5">
      <c r="E96" s="6"/>
    </row>
    <row r="97" spans="5:5">
      <c r="E97" s="8"/>
    </row>
    <row r="98" spans="5:5">
      <c r="E98" s="8"/>
    </row>
    <row r="99" spans="5:5">
      <c r="E99" s="5"/>
    </row>
    <row r="100" spans="5:5">
      <c r="E100" s="11"/>
    </row>
    <row r="101" spans="5:5">
      <c r="E101" s="6"/>
    </row>
    <row r="102" spans="5:5">
      <c r="E102" s="9"/>
    </row>
    <row r="103" spans="5:5">
      <c r="E103" s="6"/>
    </row>
    <row r="104" spans="5:5">
      <c r="E104" s="11"/>
    </row>
    <row r="105" spans="5:5">
      <c r="E105" s="5"/>
    </row>
  </sheetData>
  <pageMargins left="0" right="0" top="0.39374999999999999" bottom="0.39374999999999999" header="0" footer="0"/>
  <pageSetup paperSize="9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48"/>
  <sheetViews>
    <sheetView workbookViewId="0">
      <selection activeCell="P25" sqref="P25"/>
    </sheetView>
  </sheetViews>
  <sheetFormatPr baseColWidth="10" defaultRowHeight="15"/>
  <cols>
    <col min="1" max="2" width="11" style="12"/>
    <col min="3" max="4" width="10.375" style="12" customWidth="1"/>
    <col min="5" max="5" width="11.375" style="12" customWidth="1"/>
    <col min="6" max="7" width="10.375" style="12" customWidth="1"/>
    <col min="8" max="8" width="12.25" style="12" customWidth="1"/>
    <col min="9" max="9" width="10.375" style="12" customWidth="1"/>
    <col min="10" max="16384" width="11" style="12"/>
  </cols>
  <sheetData>
    <row r="1" spans="1:12" ht="43.35" customHeight="1" thickBot="1">
      <c r="B1" s="13" t="s">
        <v>27</v>
      </c>
      <c r="C1" s="14" t="s">
        <v>28</v>
      </c>
      <c r="D1" s="13" t="s">
        <v>29</v>
      </c>
      <c r="E1" s="14" t="s">
        <v>30</v>
      </c>
      <c r="F1" s="13" t="s">
        <v>31</v>
      </c>
      <c r="G1" s="14" t="s">
        <v>32</v>
      </c>
      <c r="H1" s="13" t="s">
        <v>33</v>
      </c>
      <c r="I1" s="14" t="s">
        <v>34</v>
      </c>
      <c r="J1" s="13" t="s">
        <v>35</v>
      </c>
      <c r="L1" s="15"/>
    </row>
    <row r="2" spans="1:12">
      <c r="A2" s="172" t="s">
        <v>36</v>
      </c>
      <c r="B2" s="16" t="s">
        <v>37</v>
      </c>
      <c r="C2" s="18" t="s">
        <v>38</v>
      </c>
      <c r="D2" s="19" t="s">
        <v>39</v>
      </c>
      <c r="E2" s="18">
        <v>41460</v>
      </c>
      <c r="F2" s="17">
        <v>1.4</v>
      </c>
      <c r="G2" s="18">
        <v>41640</v>
      </c>
      <c r="H2" s="20">
        <v>1.8839999999999999</v>
      </c>
      <c r="I2" s="17">
        <v>100</v>
      </c>
      <c r="J2" s="21">
        <f t="shared" ref="J2:J65" si="0">H2*I2</f>
        <v>188.39999999999998</v>
      </c>
    </row>
    <row r="3" spans="1:12">
      <c r="A3" s="173"/>
      <c r="B3" s="22" t="s">
        <v>40</v>
      </c>
      <c r="C3" s="24" t="s">
        <v>38</v>
      </c>
      <c r="D3" s="25" t="s">
        <v>39</v>
      </c>
      <c r="E3" s="24">
        <v>41463</v>
      </c>
      <c r="F3" s="23">
        <v>1.415</v>
      </c>
      <c r="G3" s="24">
        <v>41913</v>
      </c>
      <c r="H3" s="26">
        <v>6.5679999999999996</v>
      </c>
      <c r="I3" s="23">
        <v>100</v>
      </c>
      <c r="J3" s="27">
        <f t="shared" si="0"/>
        <v>656.8</v>
      </c>
    </row>
    <row r="4" spans="1:12">
      <c r="A4" s="173"/>
      <c r="B4" s="22" t="s">
        <v>41</v>
      </c>
      <c r="C4" s="24" t="s">
        <v>38</v>
      </c>
      <c r="D4" s="25" t="s">
        <v>39</v>
      </c>
      <c r="E4" s="24">
        <v>41466</v>
      </c>
      <c r="F4" s="23">
        <v>1.5</v>
      </c>
      <c r="G4" s="24">
        <v>41913</v>
      </c>
      <c r="H4" s="26">
        <v>4.641</v>
      </c>
      <c r="I4" s="23">
        <v>100</v>
      </c>
      <c r="J4" s="27">
        <f t="shared" si="0"/>
        <v>464.1</v>
      </c>
    </row>
    <row r="5" spans="1:12">
      <c r="A5" s="173"/>
      <c r="B5" s="22" t="s">
        <v>42</v>
      </c>
      <c r="C5" s="24" t="s">
        <v>38</v>
      </c>
      <c r="D5" s="25" t="s">
        <v>39</v>
      </c>
      <c r="E5" s="24">
        <v>41470</v>
      </c>
      <c r="F5" s="23">
        <v>1.4</v>
      </c>
      <c r="G5" s="24">
        <v>41913</v>
      </c>
      <c r="H5" s="26">
        <v>14.068</v>
      </c>
      <c r="I5" s="23">
        <v>100</v>
      </c>
      <c r="J5" s="27">
        <f t="shared" si="0"/>
        <v>1406.8</v>
      </c>
    </row>
    <row r="6" spans="1:12">
      <c r="A6" s="173"/>
      <c r="B6" s="22" t="s">
        <v>43</v>
      </c>
      <c r="C6" s="24" t="s">
        <v>38</v>
      </c>
      <c r="D6" s="25" t="s">
        <v>39</v>
      </c>
      <c r="E6" s="24">
        <v>41473</v>
      </c>
      <c r="F6" s="23">
        <v>1.5</v>
      </c>
      <c r="G6" s="24">
        <v>41913</v>
      </c>
      <c r="H6" s="26">
        <v>9.9459999999999997</v>
      </c>
      <c r="I6" s="23">
        <v>100</v>
      </c>
      <c r="J6" s="27">
        <f t="shared" si="0"/>
        <v>994.6</v>
      </c>
    </row>
    <row r="7" spans="1:12">
      <c r="A7" s="173"/>
      <c r="B7" s="22" t="s">
        <v>44</v>
      </c>
      <c r="C7" s="24" t="s">
        <v>38</v>
      </c>
      <c r="D7" s="25" t="s">
        <v>39</v>
      </c>
      <c r="E7" s="24">
        <v>41477</v>
      </c>
      <c r="F7" s="23">
        <v>1.25</v>
      </c>
      <c r="G7" s="24">
        <v>41913</v>
      </c>
      <c r="H7" s="26">
        <v>8.6219999999999999</v>
      </c>
      <c r="I7" s="23">
        <v>100</v>
      </c>
      <c r="J7" s="27">
        <f t="shared" si="0"/>
        <v>862.2</v>
      </c>
    </row>
    <row r="8" spans="1:12">
      <c r="A8" s="173"/>
      <c r="B8" s="22" t="s">
        <v>45</v>
      </c>
      <c r="C8" s="24" t="s">
        <v>38</v>
      </c>
      <c r="D8" s="25" t="s">
        <v>39</v>
      </c>
      <c r="E8" s="24">
        <v>41480</v>
      </c>
      <c r="F8" s="23">
        <v>1.5</v>
      </c>
      <c r="G8" s="24">
        <v>41913</v>
      </c>
      <c r="H8" s="26">
        <v>5.2050000000000001</v>
      </c>
      <c r="I8" s="23">
        <v>100</v>
      </c>
      <c r="J8" s="27">
        <f t="shared" si="0"/>
        <v>520.5</v>
      </c>
    </row>
    <row r="9" spans="1:12">
      <c r="A9" s="173"/>
      <c r="B9" s="22" t="s">
        <v>46</v>
      </c>
      <c r="C9" s="24" t="s">
        <v>38</v>
      </c>
      <c r="D9" s="25" t="s">
        <v>39</v>
      </c>
      <c r="E9" s="24">
        <v>41484</v>
      </c>
      <c r="F9" s="23">
        <v>1.4</v>
      </c>
      <c r="G9" s="24">
        <v>41913</v>
      </c>
      <c r="H9" s="26">
        <v>6.915</v>
      </c>
      <c r="I9" s="23">
        <v>100</v>
      </c>
      <c r="J9" s="27">
        <f t="shared" si="0"/>
        <v>691.5</v>
      </c>
    </row>
    <row r="10" spans="1:12">
      <c r="A10" s="173"/>
      <c r="B10" s="22" t="s">
        <v>47</v>
      </c>
      <c r="C10" s="24" t="s">
        <v>38</v>
      </c>
      <c r="D10" s="25" t="s">
        <v>39</v>
      </c>
      <c r="E10" s="24">
        <v>41487</v>
      </c>
      <c r="F10" s="23">
        <v>1</v>
      </c>
      <c r="G10" s="24">
        <v>41913</v>
      </c>
      <c r="H10" s="26">
        <v>10.202999999999999</v>
      </c>
      <c r="I10" s="23">
        <v>100</v>
      </c>
      <c r="J10" s="27">
        <f t="shared" si="0"/>
        <v>1020.3</v>
      </c>
    </row>
    <row r="11" spans="1:12">
      <c r="A11" s="173"/>
      <c r="B11" s="22" t="s">
        <v>48</v>
      </c>
      <c r="C11" s="24" t="s">
        <v>38</v>
      </c>
      <c r="D11" s="25" t="s">
        <v>39</v>
      </c>
      <c r="E11" s="24">
        <v>41491</v>
      </c>
      <c r="F11" s="23">
        <v>1.25</v>
      </c>
      <c r="G11" s="24">
        <v>41913</v>
      </c>
      <c r="H11" s="26">
        <v>4.9489999999999998</v>
      </c>
      <c r="I11" s="23">
        <v>100</v>
      </c>
      <c r="J11" s="27">
        <f t="shared" si="0"/>
        <v>494.9</v>
      </c>
    </row>
    <row r="12" spans="1:12">
      <c r="A12" s="173"/>
      <c r="B12" s="22" t="s">
        <v>49</v>
      </c>
      <c r="C12" s="24" t="s">
        <v>38</v>
      </c>
      <c r="D12" s="25" t="s">
        <v>39</v>
      </c>
      <c r="E12" s="24">
        <v>41494</v>
      </c>
      <c r="F12" s="23">
        <v>1.25</v>
      </c>
      <c r="G12" s="24">
        <v>41913</v>
      </c>
      <c r="H12" s="26">
        <v>3.4119999999999999</v>
      </c>
      <c r="I12" s="23">
        <v>100</v>
      </c>
      <c r="J12" s="27">
        <f t="shared" si="0"/>
        <v>341.2</v>
      </c>
    </row>
    <row r="13" spans="1:12">
      <c r="A13" s="173"/>
      <c r="B13" s="22" t="s">
        <v>50</v>
      </c>
      <c r="C13" s="24" t="s">
        <v>38</v>
      </c>
      <c r="D13" s="28" t="s">
        <v>51</v>
      </c>
      <c r="E13" s="24">
        <v>41460</v>
      </c>
      <c r="F13" s="23">
        <v>1.4</v>
      </c>
      <c r="G13" s="24">
        <v>41914</v>
      </c>
      <c r="H13" s="26">
        <v>13.927</v>
      </c>
      <c r="I13" s="23">
        <v>100</v>
      </c>
      <c r="J13" s="27">
        <f t="shared" si="0"/>
        <v>1392.7</v>
      </c>
    </row>
    <row r="14" spans="1:12">
      <c r="A14" s="173"/>
      <c r="B14" s="22" t="s">
        <v>52</v>
      </c>
      <c r="C14" s="24" t="s">
        <v>38</v>
      </c>
      <c r="D14" s="28" t="s">
        <v>51</v>
      </c>
      <c r="E14" s="24">
        <v>41463</v>
      </c>
      <c r="F14" s="23">
        <v>1.415</v>
      </c>
      <c r="G14" s="24">
        <v>41914</v>
      </c>
      <c r="H14" s="26">
        <v>17.914000000000001</v>
      </c>
      <c r="I14" s="23">
        <v>100</v>
      </c>
      <c r="J14" s="27">
        <f t="shared" si="0"/>
        <v>1791.4</v>
      </c>
    </row>
    <row r="15" spans="1:12">
      <c r="A15" s="173"/>
      <c r="B15" s="22" t="s">
        <v>53</v>
      </c>
      <c r="C15" s="24" t="s">
        <v>38</v>
      </c>
      <c r="D15" s="28" t="s">
        <v>51</v>
      </c>
      <c r="E15" s="24">
        <v>41466</v>
      </c>
      <c r="F15" s="23">
        <v>1.5</v>
      </c>
      <c r="G15" s="24">
        <v>41914</v>
      </c>
      <c r="H15" s="26">
        <v>13.384</v>
      </c>
      <c r="I15" s="23">
        <v>100</v>
      </c>
      <c r="J15" s="27">
        <f t="shared" si="0"/>
        <v>1338.4</v>
      </c>
    </row>
    <row r="16" spans="1:12">
      <c r="A16" s="173"/>
      <c r="B16" s="22" t="s">
        <v>54</v>
      </c>
      <c r="C16" s="24" t="s">
        <v>38</v>
      </c>
      <c r="D16" s="28" t="s">
        <v>51</v>
      </c>
      <c r="E16" s="24">
        <v>41470</v>
      </c>
      <c r="F16" s="23">
        <v>1.4</v>
      </c>
      <c r="G16" s="24">
        <v>41914</v>
      </c>
      <c r="H16" s="26">
        <v>12.13</v>
      </c>
      <c r="I16" s="23">
        <v>100</v>
      </c>
      <c r="J16" s="27">
        <f t="shared" si="0"/>
        <v>1213</v>
      </c>
    </row>
    <row r="17" spans="1:10">
      <c r="A17" s="173"/>
      <c r="B17" s="22" t="s">
        <v>55</v>
      </c>
      <c r="C17" s="24" t="s">
        <v>38</v>
      </c>
      <c r="D17" s="28" t="s">
        <v>51</v>
      </c>
      <c r="E17" s="24">
        <v>41473</v>
      </c>
      <c r="F17" s="23">
        <v>1.5</v>
      </c>
      <c r="G17" s="24">
        <v>41914</v>
      </c>
      <c r="H17" s="26">
        <v>14.670999999999999</v>
      </c>
      <c r="I17" s="23">
        <v>100</v>
      </c>
      <c r="J17" s="27">
        <f t="shared" si="0"/>
        <v>1467.1</v>
      </c>
    </row>
    <row r="18" spans="1:10">
      <c r="A18" s="173"/>
      <c r="B18" s="22" t="s">
        <v>56</v>
      </c>
      <c r="C18" s="24" t="s">
        <v>38</v>
      </c>
      <c r="D18" s="28" t="s">
        <v>51</v>
      </c>
      <c r="E18" s="24">
        <v>41477</v>
      </c>
      <c r="F18" s="23">
        <v>1.25</v>
      </c>
      <c r="G18" s="24">
        <v>41914</v>
      </c>
      <c r="H18" s="26">
        <v>11.752000000000001</v>
      </c>
      <c r="I18" s="23">
        <v>100</v>
      </c>
      <c r="J18" s="27">
        <f t="shared" si="0"/>
        <v>1175.2</v>
      </c>
    </row>
    <row r="19" spans="1:10">
      <c r="A19" s="173"/>
      <c r="B19" s="22" t="s">
        <v>57</v>
      </c>
      <c r="C19" s="24" t="s">
        <v>38</v>
      </c>
      <c r="D19" s="28" t="s">
        <v>51</v>
      </c>
      <c r="E19" s="24">
        <v>41480</v>
      </c>
      <c r="F19" s="23">
        <v>1.5</v>
      </c>
      <c r="G19" s="24">
        <v>41914</v>
      </c>
      <c r="H19" s="26">
        <v>34.680999999999997</v>
      </c>
      <c r="I19" s="23">
        <v>100</v>
      </c>
      <c r="J19" s="27">
        <f t="shared" si="0"/>
        <v>3468.1</v>
      </c>
    </row>
    <row r="20" spans="1:10">
      <c r="A20" s="173"/>
      <c r="B20" s="22" t="s">
        <v>58</v>
      </c>
      <c r="C20" s="24" t="s">
        <v>38</v>
      </c>
      <c r="D20" s="28" t="s">
        <v>51</v>
      </c>
      <c r="E20" s="24">
        <v>41484</v>
      </c>
      <c r="F20" s="23">
        <v>1.4</v>
      </c>
      <c r="G20" s="24">
        <v>41914</v>
      </c>
      <c r="H20" s="26">
        <v>19.164999999999999</v>
      </c>
      <c r="I20" s="23">
        <v>100</v>
      </c>
      <c r="J20" s="27">
        <f t="shared" si="0"/>
        <v>1916.5</v>
      </c>
    </row>
    <row r="21" spans="1:10">
      <c r="A21" s="173"/>
      <c r="B21" s="22" t="s">
        <v>59</v>
      </c>
      <c r="C21" s="24" t="s">
        <v>38</v>
      </c>
      <c r="D21" s="28" t="s">
        <v>51</v>
      </c>
      <c r="E21" s="24">
        <v>41487</v>
      </c>
      <c r="F21" s="23">
        <v>1</v>
      </c>
      <c r="G21" s="24">
        <v>41914</v>
      </c>
      <c r="H21" s="26">
        <v>30.541</v>
      </c>
      <c r="I21" s="23">
        <v>100</v>
      </c>
      <c r="J21" s="27">
        <f t="shared" si="0"/>
        <v>3054.1</v>
      </c>
    </row>
    <row r="22" spans="1:10">
      <c r="A22" s="173"/>
      <c r="B22" s="22" t="s">
        <v>60</v>
      </c>
      <c r="C22" s="24" t="s">
        <v>38</v>
      </c>
      <c r="D22" s="28" t="s">
        <v>51</v>
      </c>
      <c r="E22" s="24">
        <v>41491</v>
      </c>
      <c r="F22" s="23">
        <v>1.25</v>
      </c>
      <c r="G22" s="24">
        <v>41914</v>
      </c>
      <c r="H22" s="26">
        <v>28.184999999999999</v>
      </c>
      <c r="I22" s="23">
        <v>100</v>
      </c>
      <c r="J22" s="27">
        <f t="shared" si="0"/>
        <v>2818.5</v>
      </c>
    </row>
    <row r="23" spans="1:10">
      <c r="A23" s="173"/>
      <c r="B23" s="22" t="s">
        <v>61</v>
      </c>
      <c r="C23" s="24" t="s">
        <v>38</v>
      </c>
      <c r="D23" s="28" t="s">
        <v>51</v>
      </c>
      <c r="E23" s="24">
        <v>41494</v>
      </c>
      <c r="F23" s="23">
        <v>1.25</v>
      </c>
      <c r="G23" s="24">
        <v>41914</v>
      </c>
      <c r="H23" s="26">
        <v>17.648</v>
      </c>
      <c r="I23" s="23">
        <v>100</v>
      </c>
      <c r="J23" s="27">
        <f t="shared" si="0"/>
        <v>1764.8</v>
      </c>
    </row>
    <row r="24" spans="1:10">
      <c r="A24" s="173"/>
      <c r="B24" s="22" t="s">
        <v>62</v>
      </c>
      <c r="C24" s="24" t="s">
        <v>38</v>
      </c>
      <c r="D24" s="29" t="s">
        <v>63</v>
      </c>
      <c r="E24" s="24">
        <v>41463</v>
      </c>
      <c r="F24" s="23">
        <v>0.7</v>
      </c>
      <c r="G24" s="30">
        <v>41915</v>
      </c>
      <c r="H24" s="26">
        <v>10.669</v>
      </c>
      <c r="I24" s="31">
        <v>100</v>
      </c>
      <c r="J24" s="32">
        <f t="shared" si="0"/>
        <v>1066.9000000000001</v>
      </c>
    </row>
    <row r="25" spans="1:10">
      <c r="A25" s="173"/>
      <c r="B25" s="22" t="s">
        <v>64</v>
      </c>
      <c r="C25" s="24" t="s">
        <v>38</v>
      </c>
      <c r="D25" s="29" t="s">
        <v>63</v>
      </c>
      <c r="E25" s="24">
        <v>41466</v>
      </c>
      <c r="F25" s="23">
        <v>0.74</v>
      </c>
      <c r="G25" s="30">
        <v>41915</v>
      </c>
      <c r="H25" s="26">
        <v>25.382999999999999</v>
      </c>
      <c r="I25" s="31">
        <v>100</v>
      </c>
      <c r="J25" s="32">
        <f t="shared" si="0"/>
        <v>2538.2999999999997</v>
      </c>
    </row>
    <row r="26" spans="1:10">
      <c r="A26" s="173"/>
      <c r="B26" s="22" t="s">
        <v>65</v>
      </c>
      <c r="C26" s="24" t="s">
        <v>38</v>
      </c>
      <c r="D26" s="29" t="s">
        <v>63</v>
      </c>
      <c r="E26" s="24">
        <v>41470</v>
      </c>
      <c r="F26" s="23">
        <v>0.79</v>
      </c>
      <c r="G26" s="30">
        <v>41915</v>
      </c>
      <c r="H26" s="26">
        <v>52.027999999999999</v>
      </c>
      <c r="I26" s="31">
        <v>100</v>
      </c>
      <c r="J26" s="32">
        <f t="shared" si="0"/>
        <v>5202.8</v>
      </c>
    </row>
    <row r="27" spans="1:10">
      <c r="A27" s="173"/>
      <c r="B27" s="22" t="s">
        <v>66</v>
      </c>
      <c r="C27" s="24" t="s">
        <v>38</v>
      </c>
      <c r="D27" s="29" t="s">
        <v>63</v>
      </c>
      <c r="E27" s="24">
        <v>41473</v>
      </c>
      <c r="F27" s="23">
        <v>0.7</v>
      </c>
      <c r="G27" s="30">
        <v>41915</v>
      </c>
      <c r="H27" s="26">
        <v>12.294</v>
      </c>
      <c r="I27" s="31">
        <v>100</v>
      </c>
      <c r="J27" s="32">
        <f t="shared" si="0"/>
        <v>1229.4000000000001</v>
      </c>
    </row>
    <row r="28" spans="1:10">
      <c r="A28" s="173"/>
      <c r="B28" s="22" t="s">
        <v>67</v>
      </c>
      <c r="C28" s="24" t="s">
        <v>38</v>
      </c>
      <c r="D28" s="29" t="s">
        <v>63</v>
      </c>
      <c r="E28" s="24">
        <v>41477</v>
      </c>
      <c r="F28" s="23">
        <v>0.48</v>
      </c>
      <c r="G28" s="30">
        <v>41915</v>
      </c>
      <c r="H28" s="26">
        <v>32.750999999999998</v>
      </c>
      <c r="I28" s="31">
        <v>100</v>
      </c>
      <c r="J28" s="33">
        <f t="shared" si="0"/>
        <v>3275.1</v>
      </c>
    </row>
    <row r="29" spans="1:10">
      <c r="A29" s="173"/>
      <c r="B29" s="22" t="s">
        <v>68</v>
      </c>
      <c r="C29" s="24" t="s">
        <v>38</v>
      </c>
      <c r="D29" s="29" t="s">
        <v>63</v>
      </c>
      <c r="E29" s="24">
        <v>41480</v>
      </c>
      <c r="F29" s="23">
        <v>0.52700000000000002</v>
      </c>
      <c r="G29" s="30">
        <v>41915</v>
      </c>
      <c r="H29" s="26">
        <v>26.509</v>
      </c>
      <c r="I29" s="31">
        <v>100</v>
      </c>
      <c r="J29" s="33">
        <f t="shared" si="0"/>
        <v>2650.9</v>
      </c>
    </row>
    <row r="30" spans="1:10">
      <c r="A30" s="173"/>
      <c r="B30" s="22" t="s">
        <v>69</v>
      </c>
      <c r="C30" s="24" t="s">
        <v>38</v>
      </c>
      <c r="D30" s="29" t="s">
        <v>63</v>
      </c>
      <c r="E30" s="24">
        <v>41484</v>
      </c>
      <c r="F30" s="23">
        <v>0.4</v>
      </c>
      <c r="G30" s="30">
        <v>41915</v>
      </c>
      <c r="H30" s="26">
        <v>58.484000000000002</v>
      </c>
      <c r="I30" s="31">
        <v>100</v>
      </c>
      <c r="J30" s="33">
        <f t="shared" si="0"/>
        <v>5848.4000000000005</v>
      </c>
    </row>
    <row r="31" spans="1:10">
      <c r="A31" s="173"/>
      <c r="B31" s="22" t="s">
        <v>70</v>
      </c>
      <c r="C31" s="24" t="s">
        <v>38</v>
      </c>
      <c r="D31" s="29" t="s">
        <v>63</v>
      </c>
      <c r="E31" s="24">
        <v>41487</v>
      </c>
      <c r="F31" s="23">
        <v>0.3</v>
      </c>
      <c r="G31" s="30">
        <v>41915</v>
      </c>
      <c r="H31" s="26">
        <v>44.131999999999998</v>
      </c>
      <c r="I31" s="31">
        <v>100</v>
      </c>
      <c r="J31" s="33">
        <f t="shared" si="0"/>
        <v>4413.2</v>
      </c>
    </row>
    <row r="32" spans="1:10">
      <c r="A32" s="173"/>
      <c r="B32" s="22" t="s">
        <v>71</v>
      </c>
      <c r="C32" s="24" t="s">
        <v>38</v>
      </c>
      <c r="D32" s="29" t="s">
        <v>63</v>
      </c>
      <c r="E32" s="24">
        <v>41491</v>
      </c>
      <c r="F32" s="23">
        <v>0.4</v>
      </c>
      <c r="G32" s="30">
        <v>41915</v>
      </c>
      <c r="H32" s="26">
        <v>72.132999999999996</v>
      </c>
      <c r="I32" s="31">
        <v>100</v>
      </c>
      <c r="J32" s="33">
        <f t="shared" si="0"/>
        <v>7213.2999999999993</v>
      </c>
    </row>
    <row r="33" spans="1:10" ht="15.75" thickBot="1">
      <c r="A33" s="173"/>
      <c r="B33" s="34" t="s">
        <v>72</v>
      </c>
      <c r="C33" s="36" t="s">
        <v>38</v>
      </c>
      <c r="D33" s="37" t="s">
        <v>63</v>
      </c>
      <c r="E33" s="36">
        <v>41494</v>
      </c>
      <c r="F33" s="35">
        <v>0.5</v>
      </c>
      <c r="G33" s="38">
        <v>41915</v>
      </c>
      <c r="H33" s="39">
        <v>67.567999999999998</v>
      </c>
      <c r="I33" s="40">
        <v>100</v>
      </c>
      <c r="J33" s="41">
        <f t="shared" si="0"/>
        <v>6756.8</v>
      </c>
    </row>
    <row r="34" spans="1:10" ht="15.75" customHeight="1">
      <c r="A34" s="172" t="s">
        <v>73</v>
      </c>
      <c r="B34" s="16" t="s">
        <v>74</v>
      </c>
      <c r="C34" s="18" t="s">
        <v>38</v>
      </c>
      <c r="D34" s="19" t="s">
        <v>39</v>
      </c>
      <c r="E34" s="18">
        <v>41789</v>
      </c>
      <c r="F34" s="42">
        <v>1.25</v>
      </c>
      <c r="G34" s="18">
        <v>41920</v>
      </c>
      <c r="H34" s="20">
        <v>2.851</v>
      </c>
      <c r="I34" s="17">
        <v>100</v>
      </c>
      <c r="J34" s="43">
        <f t="shared" si="0"/>
        <v>285.10000000000002</v>
      </c>
    </row>
    <row r="35" spans="1:10">
      <c r="A35" s="173"/>
      <c r="B35" s="22" t="s">
        <v>75</v>
      </c>
      <c r="C35" s="24" t="s">
        <v>38</v>
      </c>
      <c r="D35" s="25" t="s">
        <v>39</v>
      </c>
      <c r="E35" s="24">
        <v>41793</v>
      </c>
      <c r="F35" s="44">
        <v>1.75</v>
      </c>
      <c r="G35" s="24">
        <v>41920</v>
      </c>
      <c r="H35" s="26">
        <v>5.585</v>
      </c>
      <c r="I35" s="23">
        <v>100</v>
      </c>
      <c r="J35" s="41">
        <f t="shared" si="0"/>
        <v>558.5</v>
      </c>
    </row>
    <row r="36" spans="1:10">
      <c r="A36" s="173"/>
      <c r="B36" s="22" t="s">
        <v>76</v>
      </c>
      <c r="C36" s="24" t="s">
        <v>38</v>
      </c>
      <c r="D36" s="25" t="s">
        <v>39</v>
      </c>
      <c r="E36" s="24">
        <v>41796</v>
      </c>
      <c r="F36" s="44">
        <v>3.11</v>
      </c>
      <c r="G36" s="24">
        <v>41920</v>
      </c>
      <c r="H36" s="26">
        <v>27.666</v>
      </c>
      <c r="I36" s="23">
        <v>100</v>
      </c>
      <c r="J36" s="41">
        <f t="shared" si="0"/>
        <v>2766.6</v>
      </c>
    </row>
    <row r="37" spans="1:10">
      <c r="A37" s="173"/>
      <c r="B37" s="22" t="s">
        <v>77</v>
      </c>
      <c r="C37" s="24" t="s">
        <v>38</v>
      </c>
      <c r="D37" s="25" t="s">
        <v>39</v>
      </c>
      <c r="E37" s="24">
        <v>41800</v>
      </c>
      <c r="F37" s="44">
        <v>1.75</v>
      </c>
      <c r="G37" s="24">
        <v>41920</v>
      </c>
      <c r="H37" s="26">
        <v>11.093</v>
      </c>
      <c r="I37" s="23">
        <v>100</v>
      </c>
      <c r="J37" s="41">
        <f t="shared" si="0"/>
        <v>1109.3</v>
      </c>
    </row>
    <row r="38" spans="1:10">
      <c r="A38" s="173"/>
      <c r="B38" s="22" t="s">
        <v>78</v>
      </c>
      <c r="C38" s="24" t="s">
        <v>38</v>
      </c>
      <c r="D38" s="25" t="s">
        <v>39</v>
      </c>
      <c r="E38" s="24">
        <v>41803</v>
      </c>
      <c r="F38" s="44">
        <v>2.75</v>
      </c>
      <c r="G38" s="24">
        <v>41920</v>
      </c>
      <c r="H38" s="26">
        <v>3.0920000000000001</v>
      </c>
      <c r="I38" s="23">
        <v>100</v>
      </c>
      <c r="J38" s="41">
        <f t="shared" si="0"/>
        <v>309.2</v>
      </c>
    </row>
    <row r="39" spans="1:10">
      <c r="A39" s="173"/>
      <c r="B39" s="22" t="s">
        <v>79</v>
      </c>
      <c r="C39" s="24" t="s">
        <v>38</v>
      </c>
      <c r="D39" s="25" t="s">
        <v>39</v>
      </c>
      <c r="E39" s="24">
        <v>41806</v>
      </c>
      <c r="F39" s="44">
        <v>3.9350000000000001</v>
      </c>
      <c r="G39" s="24">
        <v>41920</v>
      </c>
      <c r="H39" s="26">
        <v>15.061999999999999</v>
      </c>
      <c r="I39" s="23">
        <v>100</v>
      </c>
      <c r="J39" s="41">
        <f t="shared" si="0"/>
        <v>1506.2</v>
      </c>
    </row>
    <row r="40" spans="1:10">
      <c r="A40" s="173"/>
      <c r="B40" s="22" t="s">
        <v>80</v>
      </c>
      <c r="C40" s="24" t="s">
        <v>38</v>
      </c>
      <c r="D40" s="25" t="s">
        <v>39</v>
      </c>
      <c r="E40" s="24">
        <v>41810</v>
      </c>
      <c r="F40" s="44">
        <v>1.5</v>
      </c>
      <c r="G40" s="24">
        <v>41921</v>
      </c>
      <c r="H40" s="26">
        <v>13.234</v>
      </c>
      <c r="I40" s="23">
        <v>100</v>
      </c>
      <c r="J40" s="41">
        <f t="shared" si="0"/>
        <v>1323.4</v>
      </c>
    </row>
    <row r="41" spans="1:10">
      <c r="A41" s="173"/>
      <c r="B41" s="22" t="s">
        <v>81</v>
      </c>
      <c r="C41" s="24" t="s">
        <v>38</v>
      </c>
      <c r="D41" s="25" t="s">
        <v>39</v>
      </c>
      <c r="E41" s="24">
        <v>41813</v>
      </c>
      <c r="F41" s="44">
        <v>1.63</v>
      </c>
      <c r="G41" s="24">
        <v>41921</v>
      </c>
      <c r="H41" s="26">
        <v>5.6609999999999996</v>
      </c>
      <c r="I41" s="23">
        <v>100</v>
      </c>
      <c r="J41" s="41">
        <f t="shared" si="0"/>
        <v>566.09999999999991</v>
      </c>
    </row>
    <row r="42" spans="1:10">
      <c r="A42" s="173"/>
      <c r="B42" s="22" t="s">
        <v>82</v>
      </c>
      <c r="C42" s="24" t="s">
        <v>38</v>
      </c>
      <c r="D42" s="25" t="s">
        <v>39</v>
      </c>
      <c r="E42" s="24">
        <v>41817</v>
      </c>
      <c r="F42" s="44">
        <v>2.5</v>
      </c>
      <c r="G42" s="24">
        <v>41921</v>
      </c>
      <c r="H42" s="26">
        <v>5.43</v>
      </c>
      <c r="I42" s="23">
        <v>100</v>
      </c>
      <c r="J42" s="41">
        <f t="shared" si="0"/>
        <v>543</v>
      </c>
    </row>
    <row r="43" spans="1:10">
      <c r="A43" s="173"/>
      <c r="B43" s="22" t="s">
        <v>83</v>
      </c>
      <c r="C43" s="24" t="s">
        <v>38</v>
      </c>
      <c r="D43" s="25" t="s">
        <v>39</v>
      </c>
      <c r="E43" s="24">
        <v>41820</v>
      </c>
      <c r="F43" s="44">
        <v>1.6</v>
      </c>
      <c r="G43" s="24">
        <v>41921</v>
      </c>
      <c r="H43" s="26">
        <v>6.4290000000000003</v>
      </c>
      <c r="I43" s="23">
        <v>100</v>
      </c>
      <c r="J43" s="41">
        <f t="shared" si="0"/>
        <v>642.9</v>
      </c>
    </row>
    <row r="44" spans="1:10">
      <c r="A44" s="173"/>
      <c r="B44" s="22" t="s">
        <v>84</v>
      </c>
      <c r="C44" s="24" t="s">
        <v>38</v>
      </c>
      <c r="D44" s="25" t="s">
        <v>39</v>
      </c>
      <c r="E44" s="24">
        <v>41831</v>
      </c>
      <c r="F44" s="44">
        <v>1.58</v>
      </c>
      <c r="G44" s="24">
        <v>41921</v>
      </c>
      <c r="H44" s="26">
        <v>5.1660000000000004</v>
      </c>
      <c r="I44" s="23">
        <v>100</v>
      </c>
      <c r="J44" s="41">
        <f t="shared" si="0"/>
        <v>516.6</v>
      </c>
    </row>
    <row r="45" spans="1:10">
      <c r="A45" s="173"/>
      <c r="B45" s="22" t="s">
        <v>85</v>
      </c>
      <c r="C45" s="24" t="s">
        <v>38</v>
      </c>
      <c r="D45" s="25" t="s">
        <v>39</v>
      </c>
      <c r="E45" s="24">
        <v>41835</v>
      </c>
      <c r="F45" s="44">
        <v>1.1200000000000001</v>
      </c>
      <c r="G45" s="24">
        <v>41921</v>
      </c>
      <c r="H45" s="26">
        <v>6.0030000000000001</v>
      </c>
      <c r="I45" s="23">
        <v>100</v>
      </c>
      <c r="J45" s="41">
        <f t="shared" si="0"/>
        <v>600.29999999999995</v>
      </c>
    </row>
    <row r="46" spans="1:10">
      <c r="A46" s="173"/>
      <c r="B46" s="22" t="s">
        <v>86</v>
      </c>
      <c r="C46" s="24" t="s">
        <v>38</v>
      </c>
      <c r="D46" s="25" t="s">
        <v>39</v>
      </c>
      <c r="E46" s="24">
        <v>41838</v>
      </c>
      <c r="F46" s="44">
        <v>1.415</v>
      </c>
      <c r="G46" s="24">
        <v>41921</v>
      </c>
      <c r="H46" s="26">
        <v>4.3419999999999996</v>
      </c>
      <c r="I46" s="23">
        <v>100</v>
      </c>
      <c r="J46" s="41">
        <f t="shared" si="0"/>
        <v>434.2</v>
      </c>
    </row>
    <row r="47" spans="1:10">
      <c r="A47" s="173"/>
      <c r="B47" s="22" t="s">
        <v>87</v>
      </c>
      <c r="C47" s="24" t="s">
        <v>38</v>
      </c>
      <c r="D47" s="25" t="s">
        <v>39</v>
      </c>
      <c r="E47" s="24">
        <v>41841</v>
      </c>
      <c r="F47" s="44">
        <v>1.9</v>
      </c>
      <c r="G47" s="24">
        <v>41921</v>
      </c>
      <c r="H47" s="26">
        <v>5.6589999999999998</v>
      </c>
      <c r="I47" s="23">
        <v>100</v>
      </c>
      <c r="J47" s="41">
        <f t="shared" si="0"/>
        <v>565.9</v>
      </c>
    </row>
    <row r="48" spans="1:10">
      <c r="A48" s="173"/>
      <c r="B48" s="22" t="s">
        <v>88</v>
      </c>
      <c r="C48" s="24" t="s">
        <v>38</v>
      </c>
      <c r="D48" s="25" t="s">
        <v>39</v>
      </c>
      <c r="E48" s="24">
        <v>41845</v>
      </c>
      <c r="F48" s="44">
        <v>1.25</v>
      </c>
      <c r="G48" s="24">
        <v>41921</v>
      </c>
      <c r="H48" s="26">
        <v>7.617</v>
      </c>
      <c r="I48" s="23">
        <v>100</v>
      </c>
      <c r="J48" s="41">
        <f t="shared" si="0"/>
        <v>761.7</v>
      </c>
    </row>
    <row r="49" spans="1:10">
      <c r="A49" s="173"/>
      <c r="B49" s="22" t="s">
        <v>89</v>
      </c>
      <c r="C49" s="24" t="s">
        <v>38</v>
      </c>
      <c r="D49" s="25" t="s">
        <v>39</v>
      </c>
      <c r="E49" s="24">
        <v>41848</v>
      </c>
      <c r="F49" s="44">
        <v>1.55</v>
      </c>
      <c r="G49" s="24">
        <v>41921</v>
      </c>
      <c r="H49" s="26">
        <v>5.0869999999999997</v>
      </c>
      <c r="I49" s="23">
        <v>100</v>
      </c>
      <c r="J49" s="41">
        <f t="shared" si="0"/>
        <v>508.7</v>
      </c>
    </row>
    <row r="50" spans="1:10">
      <c r="A50" s="173"/>
      <c r="B50" s="22" t="s">
        <v>90</v>
      </c>
      <c r="C50" s="24" t="s">
        <v>38</v>
      </c>
      <c r="D50" s="25" t="s">
        <v>39</v>
      </c>
      <c r="E50" s="24">
        <v>41852</v>
      </c>
      <c r="F50" s="44">
        <v>1.125</v>
      </c>
      <c r="G50" s="24">
        <v>41921</v>
      </c>
      <c r="H50" s="26">
        <v>4.8810000000000002</v>
      </c>
      <c r="I50" s="23">
        <v>100</v>
      </c>
      <c r="J50" s="41">
        <f t="shared" si="0"/>
        <v>488.1</v>
      </c>
    </row>
    <row r="51" spans="1:10">
      <c r="A51" s="173"/>
      <c r="B51" s="22" t="s">
        <v>91</v>
      </c>
      <c r="C51" s="24" t="s">
        <v>38</v>
      </c>
      <c r="D51" s="25" t="s">
        <v>39</v>
      </c>
      <c r="E51" s="24">
        <v>41855</v>
      </c>
      <c r="F51" s="44">
        <v>1.25</v>
      </c>
      <c r="G51" s="24">
        <v>41922</v>
      </c>
      <c r="H51" s="26">
        <v>8.8309999999999995</v>
      </c>
      <c r="I51" s="23">
        <v>100</v>
      </c>
      <c r="J51" s="41">
        <f t="shared" si="0"/>
        <v>883.09999999999991</v>
      </c>
    </row>
    <row r="52" spans="1:10">
      <c r="A52" s="173"/>
      <c r="B52" s="22" t="s">
        <v>92</v>
      </c>
      <c r="C52" s="24" t="s">
        <v>38</v>
      </c>
      <c r="D52" s="25" t="s">
        <v>39</v>
      </c>
      <c r="E52" s="24">
        <v>41859</v>
      </c>
      <c r="F52" s="44">
        <v>2.4</v>
      </c>
      <c r="G52" s="24">
        <v>41922</v>
      </c>
      <c r="H52" s="26">
        <v>5.6390000000000002</v>
      </c>
      <c r="I52" s="23">
        <v>100</v>
      </c>
      <c r="J52" s="41">
        <f t="shared" si="0"/>
        <v>563.9</v>
      </c>
    </row>
    <row r="53" spans="1:10">
      <c r="A53" s="173"/>
      <c r="B53" s="22" t="s">
        <v>93</v>
      </c>
      <c r="C53" s="24" t="s">
        <v>38</v>
      </c>
      <c r="D53" s="25" t="s">
        <v>39</v>
      </c>
      <c r="E53" s="24">
        <v>41862</v>
      </c>
      <c r="F53" s="44">
        <v>1.75</v>
      </c>
      <c r="G53" s="24">
        <v>41922</v>
      </c>
      <c r="H53" s="26">
        <v>6.3529999999999998</v>
      </c>
      <c r="I53" s="23">
        <v>100</v>
      </c>
      <c r="J53" s="41">
        <f t="shared" si="0"/>
        <v>635.29999999999995</v>
      </c>
    </row>
    <row r="54" spans="1:10">
      <c r="A54" s="173"/>
      <c r="B54" s="22" t="s">
        <v>94</v>
      </c>
      <c r="C54" s="24" t="s">
        <v>38</v>
      </c>
      <c r="D54" s="25" t="s">
        <v>39</v>
      </c>
      <c r="E54" s="24">
        <v>41865</v>
      </c>
      <c r="F54" s="44">
        <v>2.15</v>
      </c>
      <c r="G54" s="24">
        <v>41922</v>
      </c>
      <c r="H54" s="26">
        <v>5.5940000000000003</v>
      </c>
      <c r="I54" s="23">
        <v>100</v>
      </c>
      <c r="J54" s="41">
        <f t="shared" si="0"/>
        <v>559.4</v>
      </c>
    </row>
    <row r="55" spans="1:10">
      <c r="A55" s="173"/>
      <c r="B55" s="22" t="s">
        <v>95</v>
      </c>
      <c r="C55" s="24" t="s">
        <v>38</v>
      </c>
      <c r="D55" s="25" t="s">
        <v>39</v>
      </c>
      <c r="E55" s="24">
        <v>41869</v>
      </c>
      <c r="F55" s="44">
        <v>2.65</v>
      </c>
      <c r="G55" s="24">
        <v>41922</v>
      </c>
      <c r="H55" s="26">
        <v>8.4280000000000008</v>
      </c>
      <c r="I55" s="23">
        <v>100</v>
      </c>
      <c r="J55" s="41">
        <f t="shared" si="0"/>
        <v>842.80000000000007</v>
      </c>
    </row>
    <row r="56" spans="1:10">
      <c r="A56" s="173"/>
      <c r="B56" s="22" t="s">
        <v>96</v>
      </c>
      <c r="C56" s="24" t="s">
        <v>38</v>
      </c>
      <c r="D56" s="45" t="s">
        <v>51</v>
      </c>
      <c r="E56" s="24">
        <v>41789</v>
      </c>
      <c r="F56" s="44">
        <v>1.25</v>
      </c>
      <c r="G56" s="24">
        <v>41925</v>
      </c>
      <c r="H56" s="26">
        <v>26.384</v>
      </c>
      <c r="I56" s="23">
        <v>100</v>
      </c>
      <c r="J56" s="41">
        <f t="shared" si="0"/>
        <v>2638.4</v>
      </c>
    </row>
    <row r="57" spans="1:10">
      <c r="A57" s="173"/>
      <c r="B57" s="22" t="s">
        <v>97</v>
      </c>
      <c r="C57" s="24" t="s">
        <v>38</v>
      </c>
      <c r="D57" s="45" t="s">
        <v>51</v>
      </c>
      <c r="E57" s="24">
        <v>41793</v>
      </c>
      <c r="F57" s="44">
        <v>1.75</v>
      </c>
      <c r="G57" s="24">
        <v>41925</v>
      </c>
      <c r="H57" s="26">
        <v>28.876999999999999</v>
      </c>
      <c r="I57" s="23">
        <v>100</v>
      </c>
      <c r="J57" s="41">
        <f t="shared" si="0"/>
        <v>2887.7</v>
      </c>
    </row>
    <row r="58" spans="1:10">
      <c r="A58" s="173"/>
      <c r="B58" s="22" t="s">
        <v>98</v>
      </c>
      <c r="C58" s="24" t="s">
        <v>38</v>
      </c>
      <c r="D58" s="45" t="s">
        <v>51</v>
      </c>
      <c r="E58" s="24">
        <v>41796</v>
      </c>
      <c r="F58" s="44">
        <v>3.11</v>
      </c>
      <c r="G58" s="24">
        <v>41925</v>
      </c>
      <c r="H58" s="26">
        <v>17.954000000000001</v>
      </c>
      <c r="I58" s="23">
        <v>100</v>
      </c>
      <c r="J58" s="41">
        <f t="shared" si="0"/>
        <v>1795.4</v>
      </c>
    </row>
    <row r="59" spans="1:10">
      <c r="A59" s="173"/>
      <c r="B59" s="22" t="s">
        <v>99</v>
      </c>
      <c r="C59" s="24" t="s">
        <v>38</v>
      </c>
      <c r="D59" s="45" t="s">
        <v>51</v>
      </c>
      <c r="E59" s="24">
        <v>41800</v>
      </c>
      <c r="F59" s="44">
        <v>1.75</v>
      </c>
      <c r="G59" s="24">
        <v>41925</v>
      </c>
      <c r="H59" s="26">
        <v>25.969000000000001</v>
      </c>
      <c r="I59" s="23">
        <v>100</v>
      </c>
      <c r="J59" s="41">
        <f t="shared" si="0"/>
        <v>2596.9</v>
      </c>
    </row>
    <row r="60" spans="1:10">
      <c r="A60" s="173"/>
      <c r="B60" s="22" t="s">
        <v>100</v>
      </c>
      <c r="C60" s="24" t="s">
        <v>38</v>
      </c>
      <c r="D60" s="45" t="s">
        <v>51</v>
      </c>
      <c r="E60" s="24">
        <v>41803</v>
      </c>
      <c r="F60" s="44">
        <v>2.75</v>
      </c>
      <c r="G60" s="24">
        <v>41925</v>
      </c>
      <c r="H60" s="26">
        <v>23.675999999999998</v>
      </c>
      <c r="I60" s="23">
        <v>100</v>
      </c>
      <c r="J60" s="41">
        <f t="shared" si="0"/>
        <v>2367.6</v>
      </c>
    </row>
    <row r="61" spans="1:10">
      <c r="A61" s="173"/>
      <c r="B61" s="22" t="s">
        <v>101</v>
      </c>
      <c r="C61" s="24" t="s">
        <v>38</v>
      </c>
      <c r="D61" s="45" t="s">
        <v>51</v>
      </c>
      <c r="E61" s="24">
        <v>41806</v>
      </c>
      <c r="F61" s="44">
        <v>3.9350000000000001</v>
      </c>
      <c r="G61" s="24">
        <v>41925</v>
      </c>
      <c r="H61" s="26">
        <v>28.396000000000001</v>
      </c>
      <c r="I61" s="23">
        <v>100</v>
      </c>
      <c r="J61" s="41">
        <f t="shared" si="0"/>
        <v>2839.6</v>
      </c>
    </row>
    <row r="62" spans="1:10">
      <c r="A62" s="173"/>
      <c r="B62" s="22" t="s">
        <v>102</v>
      </c>
      <c r="C62" s="24" t="s">
        <v>38</v>
      </c>
      <c r="D62" s="45" t="s">
        <v>51</v>
      </c>
      <c r="E62" s="24">
        <v>41810</v>
      </c>
      <c r="F62" s="44">
        <v>1.5</v>
      </c>
      <c r="G62" s="24">
        <v>41926</v>
      </c>
      <c r="H62" s="26">
        <v>31.123000000000001</v>
      </c>
      <c r="I62" s="23">
        <v>100</v>
      </c>
      <c r="J62" s="41">
        <f t="shared" si="0"/>
        <v>3112.3</v>
      </c>
    </row>
    <row r="63" spans="1:10">
      <c r="A63" s="173"/>
      <c r="B63" s="22" t="s">
        <v>103</v>
      </c>
      <c r="C63" s="24" t="s">
        <v>38</v>
      </c>
      <c r="D63" s="45" t="s">
        <v>51</v>
      </c>
      <c r="E63" s="24">
        <v>41813</v>
      </c>
      <c r="F63" s="44">
        <v>1.63</v>
      </c>
      <c r="G63" s="24">
        <v>41926</v>
      </c>
      <c r="H63" s="26">
        <v>38.404000000000003</v>
      </c>
      <c r="I63" s="23">
        <v>100</v>
      </c>
      <c r="J63" s="41">
        <f t="shared" si="0"/>
        <v>3840.4000000000005</v>
      </c>
    </row>
    <row r="64" spans="1:10">
      <c r="A64" s="173"/>
      <c r="B64" s="22" t="s">
        <v>104</v>
      </c>
      <c r="C64" s="24" t="s">
        <v>38</v>
      </c>
      <c r="D64" s="45" t="s">
        <v>51</v>
      </c>
      <c r="E64" s="24">
        <v>41817</v>
      </c>
      <c r="F64" s="44">
        <v>2.5</v>
      </c>
      <c r="G64" s="24">
        <v>41926</v>
      </c>
      <c r="H64" s="26">
        <v>43.078000000000003</v>
      </c>
      <c r="I64" s="23">
        <v>100</v>
      </c>
      <c r="J64" s="41">
        <f t="shared" si="0"/>
        <v>4307.8</v>
      </c>
    </row>
    <row r="65" spans="1:10">
      <c r="A65" s="173"/>
      <c r="B65" s="22" t="s">
        <v>105</v>
      </c>
      <c r="C65" s="24" t="s">
        <v>38</v>
      </c>
      <c r="D65" s="45" t="s">
        <v>51</v>
      </c>
      <c r="E65" s="24">
        <v>41820</v>
      </c>
      <c r="F65" s="44">
        <v>1.6</v>
      </c>
      <c r="G65" s="24">
        <v>41926</v>
      </c>
      <c r="H65" s="26">
        <v>22.472999999999999</v>
      </c>
      <c r="I65" s="23">
        <v>100</v>
      </c>
      <c r="J65" s="41">
        <f t="shared" si="0"/>
        <v>2247.2999999999997</v>
      </c>
    </row>
    <row r="66" spans="1:10">
      <c r="A66" s="173"/>
      <c r="B66" s="22" t="s">
        <v>106</v>
      </c>
      <c r="C66" s="24" t="s">
        <v>38</v>
      </c>
      <c r="D66" s="45" t="s">
        <v>51</v>
      </c>
      <c r="E66" s="24">
        <v>41831</v>
      </c>
      <c r="F66" s="44">
        <v>1.58</v>
      </c>
      <c r="G66" s="24">
        <v>41926</v>
      </c>
      <c r="H66" s="26">
        <v>31.305</v>
      </c>
      <c r="I66" s="23">
        <v>100</v>
      </c>
      <c r="J66" s="41">
        <f t="shared" ref="J66:J129" si="1">H66*I66</f>
        <v>3130.5</v>
      </c>
    </row>
    <row r="67" spans="1:10">
      <c r="A67" s="173"/>
      <c r="B67" s="22" t="s">
        <v>107</v>
      </c>
      <c r="C67" s="24" t="s">
        <v>38</v>
      </c>
      <c r="D67" s="45" t="s">
        <v>51</v>
      </c>
      <c r="E67" s="24">
        <v>41835</v>
      </c>
      <c r="F67" s="44">
        <v>1.1200000000000001</v>
      </c>
      <c r="G67" s="24">
        <v>41926</v>
      </c>
      <c r="H67" s="26">
        <v>22.091000000000001</v>
      </c>
      <c r="I67" s="23">
        <v>100</v>
      </c>
      <c r="J67" s="41">
        <f t="shared" si="1"/>
        <v>2209.1</v>
      </c>
    </row>
    <row r="68" spans="1:10">
      <c r="A68" s="173"/>
      <c r="B68" s="22" t="s">
        <v>108</v>
      </c>
      <c r="C68" s="24" t="s">
        <v>38</v>
      </c>
      <c r="D68" s="45" t="s">
        <v>51</v>
      </c>
      <c r="E68" s="24">
        <v>41838</v>
      </c>
      <c r="F68" s="44">
        <v>1.415</v>
      </c>
      <c r="G68" s="30">
        <v>41926</v>
      </c>
      <c r="H68" s="26">
        <v>19.922999999999998</v>
      </c>
      <c r="I68" s="31">
        <v>100</v>
      </c>
      <c r="J68" s="41">
        <f t="shared" si="1"/>
        <v>1992.2999999999997</v>
      </c>
    </row>
    <row r="69" spans="1:10">
      <c r="A69" s="173"/>
      <c r="B69" s="22" t="s">
        <v>109</v>
      </c>
      <c r="C69" s="24" t="s">
        <v>38</v>
      </c>
      <c r="D69" s="45" t="s">
        <v>51</v>
      </c>
      <c r="E69" s="24">
        <v>41841</v>
      </c>
      <c r="F69" s="44">
        <v>1.9</v>
      </c>
      <c r="G69" s="30">
        <v>41926</v>
      </c>
      <c r="H69" s="26">
        <v>36.225000000000001</v>
      </c>
      <c r="I69" s="31">
        <v>100</v>
      </c>
      <c r="J69" s="41">
        <f t="shared" si="1"/>
        <v>3622.5</v>
      </c>
    </row>
    <row r="70" spans="1:10">
      <c r="A70" s="173"/>
      <c r="B70" s="22" t="s">
        <v>110</v>
      </c>
      <c r="C70" s="24" t="s">
        <v>38</v>
      </c>
      <c r="D70" s="45" t="s">
        <v>51</v>
      </c>
      <c r="E70" s="24">
        <v>41845</v>
      </c>
      <c r="F70" s="44">
        <v>1.25</v>
      </c>
      <c r="G70" s="30">
        <v>41926</v>
      </c>
      <c r="H70" s="26">
        <v>25.920999999999999</v>
      </c>
      <c r="I70" s="31">
        <v>100</v>
      </c>
      <c r="J70" s="41">
        <f t="shared" si="1"/>
        <v>2592.1</v>
      </c>
    </row>
    <row r="71" spans="1:10">
      <c r="A71" s="173"/>
      <c r="B71" s="22" t="s">
        <v>111</v>
      </c>
      <c r="C71" s="24" t="s">
        <v>38</v>
      </c>
      <c r="D71" s="45" t="s">
        <v>51</v>
      </c>
      <c r="E71" s="24">
        <v>41848</v>
      </c>
      <c r="F71" s="44">
        <v>1.55</v>
      </c>
      <c r="G71" s="30">
        <v>41926</v>
      </c>
      <c r="H71" s="26">
        <v>27.363</v>
      </c>
      <c r="I71" s="31">
        <v>100</v>
      </c>
      <c r="J71" s="41">
        <f t="shared" si="1"/>
        <v>2736.3</v>
      </c>
    </row>
    <row r="72" spans="1:10">
      <c r="A72" s="173"/>
      <c r="B72" s="22" t="s">
        <v>112</v>
      </c>
      <c r="C72" s="24" t="s">
        <v>38</v>
      </c>
      <c r="D72" s="45" t="s">
        <v>51</v>
      </c>
      <c r="E72" s="24">
        <v>41852</v>
      </c>
      <c r="F72" s="44">
        <v>1.125</v>
      </c>
      <c r="G72" s="30">
        <v>41926</v>
      </c>
      <c r="H72" s="26">
        <v>20.774000000000001</v>
      </c>
      <c r="I72" s="31">
        <v>100</v>
      </c>
      <c r="J72" s="41">
        <f t="shared" si="1"/>
        <v>2077.4</v>
      </c>
    </row>
    <row r="73" spans="1:10">
      <c r="A73" s="173"/>
      <c r="B73" s="22" t="s">
        <v>113</v>
      </c>
      <c r="C73" s="24" t="s">
        <v>38</v>
      </c>
      <c r="D73" s="45" t="s">
        <v>51</v>
      </c>
      <c r="E73" s="24">
        <v>41855</v>
      </c>
      <c r="F73" s="44">
        <v>1.25</v>
      </c>
      <c r="G73" s="30">
        <v>41926</v>
      </c>
      <c r="H73" s="26">
        <v>21.477</v>
      </c>
      <c r="I73" s="31">
        <v>100</v>
      </c>
      <c r="J73" s="41">
        <f t="shared" si="1"/>
        <v>2147.6999999999998</v>
      </c>
    </row>
    <row r="74" spans="1:10">
      <c r="A74" s="173"/>
      <c r="B74" s="22" t="s">
        <v>114</v>
      </c>
      <c r="C74" s="24" t="s">
        <v>38</v>
      </c>
      <c r="D74" s="45" t="s">
        <v>51</v>
      </c>
      <c r="E74" s="24">
        <v>41859</v>
      </c>
      <c r="F74" s="44">
        <v>2.4</v>
      </c>
      <c r="G74" s="30">
        <v>41927</v>
      </c>
      <c r="H74" s="26">
        <v>24.673999999999999</v>
      </c>
      <c r="I74" s="31">
        <v>100</v>
      </c>
      <c r="J74" s="41">
        <f t="shared" si="1"/>
        <v>2467.4</v>
      </c>
    </row>
    <row r="75" spans="1:10">
      <c r="A75" s="173"/>
      <c r="B75" s="22" t="s">
        <v>115</v>
      </c>
      <c r="C75" s="24" t="s">
        <v>38</v>
      </c>
      <c r="D75" s="45" t="s">
        <v>51</v>
      </c>
      <c r="E75" s="24">
        <v>41862</v>
      </c>
      <c r="F75" s="44">
        <v>1.75</v>
      </c>
      <c r="G75" s="30">
        <v>41927</v>
      </c>
      <c r="H75" s="26">
        <v>23.664000000000001</v>
      </c>
      <c r="I75" s="31">
        <v>100</v>
      </c>
      <c r="J75" s="41">
        <f t="shared" si="1"/>
        <v>2366.4</v>
      </c>
    </row>
    <row r="76" spans="1:10">
      <c r="A76" s="173"/>
      <c r="B76" s="22" t="s">
        <v>116</v>
      </c>
      <c r="C76" s="24" t="s">
        <v>38</v>
      </c>
      <c r="D76" s="45" t="s">
        <v>51</v>
      </c>
      <c r="E76" s="24">
        <v>41865</v>
      </c>
      <c r="F76" s="44">
        <v>2.15</v>
      </c>
      <c r="G76" s="30">
        <v>41927</v>
      </c>
      <c r="H76" s="26">
        <v>29.253</v>
      </c>
      <c r="I76" s="31">
        <v>100</v>
      </c>
      <c r="J76" s="41">
        <f t="shared" si="1"/>
        <v>2925.3</v>
      </c>
    </row>
    <row r="77" spans="1:10">
      <c r="A77" s="173"/>
      <c r="B77" s="22" t="s">
        <v>117</v>
      </c>
      <c r="C77" s="24" t="s">
        <v>38</v>
      </c>
      <c r="D77" s="45" t="s">
        <v>51</v>
      </c>
      <c r="E77" s="24">
        <v>41869</v>
      </c>
      <c r="F77" s="44">
        <v>2.65</v>
      </c>
      <c r="G77" s="30">
        <v>41927</v>
      </c>
      <c r="H77" s="26">
        <v>31.747</v>
      </c>
      <c r="I77" s="31">
        <v>100</v>
      </c>
      <c r="J77" s="41">
        <f t="shared" si="1"/>
        <v>3174.7</v>
      </c>
    </row>
    <row r="78" spans="1:10">
      <c r="A78" s="173"/>
      <c r="B78" s="22" t="s">
        <v>118</v>
      </c>
      <c r="C78" s="24" t="s">
        <v>38</v>
      </c>
      <c r="D78" s="46" t="s">
        <v>63</v>
      </c>
      <c r="E78" s="47">
        <v>41789</v>
      </c>
      <c r="F78" s="44">
        <v>0.45</v>
      </c>
      <c r="G78" s="30">
        <v>41927</v>
      </c>
      <c r="H78" s="26">
        <v>46.347000000000001</v>
      </c>
      <c r="I78" s="31">
        <v>100</v>
      </c>
      <c r="J78" s="41">
        <f t="shared" si="1"/>
        <v>4634.7</v>
      </c>
    </row>
    <row r="79" spans="1:10">
      <c r="A79" s="173"/>
      <c r="B79" s="22" t="s">
        <v>119</v>
      </c>
      <c r="C79" s="24" t="s">
        <v>38</v>
      </c>
      <c r="D79" s="46" t="s">
        <v>63</v>
      </c>
      <c r="E79" s="47">
        <v>41793</v>
      </c>
      <c r="F79" s="44">
        <v>0.42</v>
      </c>
      <c r="G79" s="30">
        <v>41927</v>
      </c>
      <c r="H79" s="26">
        <v>43.188000000000002</v>
      </c>
      <c r="I79" s="31">
        <v>100</v>
      </c>
      <c r="J79" s="41">
        <f t="shared" si="1"/>
        <v>4318.8</v>
      </c>
    </row>
    <row r="80" spans="1:10">
      <c r="A80" s="173"/>
      <c r="B80" s="22" t="s">
        <v>120</v>
      </c>
      <c r="C80" s="24" t="s">
        <v>38</v>
      </c>
      <c r="D80" s="46" t="s">
        <v>63</v>
      </c>
      <c r="E80" s="47">
        <v>41796</v>
      </c>
      <c r="F80" s="44">
        <v>0.25</v>
      </c>
      <c r="G80" s="30">
        <v>41927</v>
      </c>
      <c r="H80" s="26">
        <v>36.51</v>
      </c>
      <c r="I80" s="31">
        <v>100</v>
      </c>
      <c r="J80" s="41">
        <f t="shared" si="1"/>
        <v>3651</v>
      </c>
    </row>
    <row r="81" spans="1:10">
      <c r="A81" s="173"/>
      <c r="B81" s="22" t="s">
        <v>121</v>
      </c>
      <c r="C81" s="24" t="s">
        <v>38</v>
      </c>
      <c r="D81" s="46" t="s">
        <v>63</v>
      </c>
      <c r="E81" s="47">
        <v>41800</v>
      </c>
      <c r="F81" s="44">
        <v>0.45</v>
      </c>
      <c r="G81" s="30">
        <v>41927</v>
      </c>
      <c r="H81" s="26">
        <v>46.098999999999997</v>
      </c>
      <c r="I81" s="31">
        <v>100</v>
      </c>
      <c r="J81" s="41">
        <f t="shared" si="1"/>
        <v>4609.8999999999996</v>
      </c>
    </row>
    <row r="82" spans="1:10">
      <c r="A82" s="173"/>
      <c r="B82" s="22" t="s">
        <v>122</v>
      </c>
      <c r="C82" s="24" t="s">
        <v>38</v>
      </c>
      <c r="D82" s="46" t="s">
        <v>63</v>
      </c>
      <c r="E82" s="47">
        <v>41803</v>
      </c>
      <c r="F82" s="44">
        <v>0.5</v>
      </c>
      <c r="G82" s="30">
        <v>41927</v>
      </c>
      <c r="H82" s="26">
        <v>61.322000000000003</v>
      </c>
      <c r="I82" s="31">
        <v>100</v>
      </c>
      <c r="J82" s="41">
        <f t="shared" si="1"/>
        <v>6132.2000000000007</v>
      </c>
    </row>
    <row r="83" spans="1:10">
      <c r="A83" s="173"/>
      <c r="B83" s="22" t="s">
        <v>123</v>
      </c>
      <c r="C83" s="24" t="s">
        <v>38</v>
      </c>
      <c r="D83" s="46" t="s">
        <v>63</v>
      </c>
      <c r="E83" s="47">
        <v>41806</v>
      </c>
      <c r="F83" s="44">
        <v>0.5</v>
      </c>
      <c r="G83" s="30">
        <v>41927</v>
      </c>
      <c r="H83" s="26">
        <v>59.924999999999997</v>
      </c>
      <c r="I83" s="31">
        <v>100</v>
      </c>
      <c r="J83" s="41">
        <f t="shared" si="1"/>
        <v>5992.5</v>
      </c>
    </row>
    <row r="84" spans="1:10">
      <c r="A84" s="173"/>
      <c r="B84" s="22" t="s">
        <v>124</v>
      </c>
      <c r="C84" s="24" t="s">
        <v>38</v>
      </c>
      <c r="D84" s="46" t="s">
        <v>63</v>
      </c>
      <c r="E84" s="47">
        <v>41810</v>
      </c>
      <c r="F84" s="44">
        <v>0.35</v>
      </c>
      <c r="G84" s="30">
        <v>41927</v>
      </c>
      <c r="H84" s="26">
        <v>65.524000000000001</v>
      </c>
      <c r="I84" s="31">
        <v>100</v>
      </c>
      <c r="J84" s="41">
        <f t="shared" si="1"/>
        <v>6552.4</v>
      </c>
    </row>
    <row r="85" spans="1:10">
      <c r="A85" s="173"/>
      <c r="B85" s="22" t="s">
        <v>125</v>
      </c>
      <c r="C85" s="24" t="s">
        <v>38</v>
      </c>
      <c r="D85" s="46" t="s">
        <v>63</v>
      </c>
      <c r="E85" s="47">
        <v>41813</v>
      </c>
      <c r="F85" s="44">
        <v>0.4</v>
      </c>
      <c r="G85" s="30">
        <v>41927</v>
      </c>
      <c r="H85" s="26">
        <v>55.433999999999997</v>
      </c>
      <c r="I85" s="31">
        <v>100</v>
      </c>
      <c r="J85" s="41">
        <f t="shared" si="1"/>
        <v>5543.4</v>
      </c>
    </row>
    <row r="86" spans="1:10">
      <c r="A86" s="173"/>
      <c r="B86" s="22" t="s">
        <v>126</v>
      </c>
      <c r="C86" s="24" t="s">
        <v>38</v>
      </c>
      <c r="D86" s="46" t="s">
        <v>63</v>
      </c>
      <c r="E86" s="47">
        <v>41817</v>
      </c>
      <c r="F86" s="44">
        <v>0.18</v>
      </c>
      <c r="G86" s="30">
        <v>41927</v>
      </c>
      <c r="H86" s="26">
        <v>58.094000000000001</v>
      </c>
      <c r="I86" s="31">
        <v>100</v>
      </c>
      <c r="J86" s="41">
        <f t="shared" si="1"/>
        <v>5809.4000000000005</v>
      </c>
    </row>
    <row r="87" spans="1:10">
      <c r="A87" s="173"/>
      <c r="B87" s="22" t="s">
        <v>127</v>
      </c>
      <c r="C87" s="24" t="s">
        <v>38</v>
      </c>
      <c r="D87" s="46" t="s">
        <v>63</v>
      </c>
      <c r="E87" s="47">
        <v>41820</v>
      </c>
      <c r="F87" s="44">
        <v>0.35</v>
      </c>
      <c r="G87" s="30">
        <v>41927</v>
      </c>
      <c r="H87" s="26">
        <v>46.018999999999998</v>
      </c>
      <c r="I87" s="31">
        <v>100</v>
      </c>
      <c r="J87" s="41">
        <f t="shared" si="1"/>
        <v>4601.8999999999996</v>
      </c>
    </row>
    <row r="88" spans="1:10">
      <c r="A88" s="173"/>
      <c r="B88" s="22" t="s">
        <v>128</v>
      </c>
      <c r="C88" s="24" t="s">
        <v>38</v>
      </c>
      <c r="D88" s="46" t="s">
        <v>63</v>
      </c>
      <c r="E88" s="47">
        <v>41831</v>
      </c>
      <c r="F88" s="44">
        <v>0.5</v>
      </c>
      <c r="G88" s="30">
        <v>41927</v>
      </c>
      <c r="H88" s="26">
        <v>41.865000000000002</v>
      </c>
      <c r="I88" s="31">
        <v>100</v>
      </c>
      <c r="J88" s="41">
        <f t="shared" si="1"/>
        <v>4186.5</v>
      </c>
    </row>
    <row r="89" spans="1:10">
      <c r="A89" s="173"/>
      <c r="B89" s="22" t="s">
        <v>129</v>
      </c>
      <c r="C89" s="24" t="s">
        <v>38</v>
      </c>
      <c r="D89" s="46" t="s">
        <v>63</v>
      </c>
      <c r="E89" s="47">
        <v>41835</v>
      </c>
      <c r="F89" s="44">
        <v>0.25</v>
      </c>
      <c r="G89" s="30">
        <v>41927</v>
      </c>
      <c r="H89" s="26">
        <v>28.692</v>
      </c>
      <c r="I89" s="31">
        <v>100</v>
      </c>
      <c r="J89" s="41">
        <f t="shared" si="1"/>
        <v>2869.2</v>
      </c>
    </row>
    <row r="90" spans="1:10">
      <c r="A90" s="173"/>
      <c r="B90" s="22" t="s">
        <v>130</v>
      </c>
      <c r="C90" s="24" t="s">
        <v>38</v>
      </c>
      <c r="D90" s="46" t="s">
        <v>63</v>
      </c>
      <c r="E90" s="47">
        <v>41838</v>
      </c>
      <c r="F90" s="44">
        <v>0.4</v>
      </c>
      <c r="G90" s="30">
        <v>41928</v>
      </c>
      <c r="H90" s="26">
        <v>43.472999999999999</v>
      </c>
      <c r="I90" s="31">
        <v>100</v>
      </c>
      <c r="J90" s="41">
        <f t="shared" si="1"/>
        <v>4347.3</v>
      </c>
    </row>
    <row r="91" spans="1:10">
      <c r="A91" s="173"/>
      <c r="B91" s="22" t="s">
        <v>131</v>
      </c>
      <c r="C91" s="24" t="s">
        <v>38</v>
      </c>
      <c r="D91" s="46" t="s">
        <v>63</v>
      </c>
      <c r="E91" s="47">
        <v>41841</v>
      </c>
      <c r="F91" s="44">
        <v>0.25</v>
      </c>
      <c r="G91" s="30">
        <v>41928</v>
      </c>
      <c r="H91" s="26">
        <v>55.801000000000002</v>
      </c>
      <c r="I91" s="31">
        <v>100</v>
      </c>
      <c r="J91" s="41">
        <f t="shared" si="1"/>
        <v>5580.1</v>
      </c>
    </row>
    <row r="92" spans="1:10">
      <c r="A92" s="173"/>
      <c r="B92" s="22" t="s">
        <v>132</v>
      </c>
      <c r="C92" s="24" t="s">
        <v>38</v>
      </c>
      <c r="D92" s="46" t="s">
        <v>63</v>
      </c>
      <c r="E92" s="47">
        <v>41845</v>
      </c>
      <c r="F92" s="44">
        <v>0.4</v>
      </c>
      <c r="G92" s="30">
        <v>41928</v>
      </c>
      <c r="H92" s="26">
        <v>26.995000000000001</v>
      </c>
      <c r="I92" s="31">
        <v>100</v>
      </c>
      <c r="J92" s="41">
        <f t="shared" si="1"/>
        <v>2699.5</v>
      </c>
    </row>
    <row r="93" spans="1:10">
      <c r="A93" s="173"/>
      <c r="B93" s="22" t="s">
        <v>133</v>
      </c>
      <c r="C93" s="24" t="s">
        <v>38</v>
      </c>
      <c r="D93" s="46" t="s">
        <v>63</v>
      </c>
      <c r="E93" s="47">
        <v>41848</v>
      </c>
      <c r="F93" s="44">
        <v>0.35</v>
      </c>
      <c r="G93" s="30">
        <v>41928</v>
      </c>
      <c r="H93" s="26">
        <v>29.581</v>
      </c>
      <c r="I93" s="31">
        <v>100</v>
      </c>
      <c r="J93" s="41">
        <f t="shared" si="1"/>
        <v>2958.1</v>
      </c>
    </row>
    <row r="94" spans="1:10">
      <c r="A94" s="173"/>
      <c r="B94" s="22" t="s">
        <v>134</v>
      </c>
      <c r="C94" s="24" t="s">
        <v>38</v>
      </c>
      <c r="D94" s="46" t="s">
        <v>63</v>
      </c>
      <c r="E94" s="47">
        <v>41852</v>
      </c>
      <c r="F94" s="44">
        <v>0.25</v>
      </c>
      <c r="G94" s="30">
        <v>41928</v>
      </c>
      <c r="H94" s="26">
        <v>36.627000000000002</v>
      </c>
      <c r="I94" s="31">
        <v>100</v>
      </c>
      <c r="J94" s="41">
        <f t="shared" si="1"/>
        <v>3662.7000000000003</v>
      </c>
    </row>
    <row r="95" spans="1:10">
      <c r="A95" s="173"/>
      <c r="B95" s="22" t="s">
        <v>135</v>
      </c>
      <c r="C95" s="24" t="s">
        <v>38</v>
      </c>
      <c r="D95" s="46" t="s">
        <v>63</v>
      </c>
      <c r="E95" s="47">
        <v>41855</v>
      </c>
      <c r="F95" s="44">
        <v>0.25</v>
      </c>
      <c r="G95" s="30">
        <v>41928</v>
      </c>
      <c r="H95" s="26">
        <v>38.578000000000003</v>
      </c>
      <c r="I95" s="31">
        <v>100</v>
      </c>
      <c r="J95" s="41">
        <f t="shared" si="1"/>
        <v>3857.8</v>
      </c>
    </row>
    <row r="96" spans="1:10">
      <c r="A96" s="173"/>
      <c r="B96" s="22" t="s">
        <v>136</v>
      </c>
      <c r="C96" s="24" t="s">
        <v>38</v>
      </c>
      <c r="D96" s="46" t="s">
        <v>63</v>
      </c>
      <c r="E96" s="47">
        <v>41859</v>
      </c>
      <c r="F96" s="44">
        <v>0.25</v>
      </c>
      <c r="G96" s="30">
        <v>41928</v>
      </c>
      <c r="H96" s="26">
        <v>42.92</v>
      </c>
      <c r="I96" s="31">
        <v>100</v>
      </c>
      <c r="J96" s="41">
        <f t="shared" si="1"/>
        <v>4292</v>
      </c>
    </row>
    <row r="97" spans="1:12">
      <c r="A97" s="173"/>
      <c r="B97" s="22" t="s">
        <v>137</v>
      </c>
      <c r="C97" s="24" t="s">
        <v>38</v>
      </c>
      <c r="D97" s="46" t="s">
        <v>63</v>
      </c>
      <c r="E97" s="47">
        <v>41862</v>
      </c>
      <c r="F97" s="44">
        <v>0.25</v>
      </c>
      <c r="G97" s="30">
        <v>41928</v>
      </c>
      <c r="H97" s="26">
        <v>15.961</v>
      </c>
      <c r="I97" s="31">
        <v>100</v>
      </c>
      <c r="J97" s="41">
        <f t="shared" si="1"/>
        <v>1596.1000000000001</v>
      </c>
    </row>
    <row r="98" spans="1:12">
      <c r="A98" s="173"/>
      <c r="B98" s="22" t="s">
        <v>138</v>
      </c>
      <c r="C98" s="24" t="s">
        <v>38</v>
      </c>
      <c r="D98" s="46" t="s">
        <v>63</v>
      </c>
      <c r="E98" s="47">
        <v>41865</v>
      </c>
      <c r="F98" s="44">
        <v>0.25</v>
      </c>
      <c r="G98" s="30">
        <v>41928</v>
      </c>
      <c r="H98" s="26">
        <v>28.295000000000002</v>
      </c>
      <c r="I98" s="31">
        <v>100</v>
      </c>
      <c r="J98" s="41">
        <f t="shared" si="1"/>
        <v>2829.5</v>
      </c>
    </row>
    <row r="99" spans="1:12" ht="15.75" thickBot="1">
      <c r="A99" s="173"/>
      <c r="B99" s="34" t="s">
        <v>139</v>
      </c>
      <c r="C99" s="36" t="s">
        <v>38</v>
      </c>
      <c r="D99" s="48" t="s">
        <v>63</v>
      </c>
      <c r="E99" s="49">
        <v>41869</v>
      </c>
      <c r="F99" s="50">
        <v>0.25</v>
      </c>
      <c r="G99" s="38">
        <v>41928</v>
      </c>
      <c r="H99" s="39">
        <v>33.305</v>
      </c>
      <c r="I99" s="40">
        <v>100</v>
      </c>
      <c r="J99" s="41">
        <f t="shared" si="1"/>
        <v>3330.5</v>
      </c>
    </row>
    <row r="100" spans="1:12">
      <c r="A100" s="172" t="s">
        <v>140</v>
      </c>
      <c r="B100" s="16" t="s">
        <v>141</v>
      </c>
      <c r="C100" s="18" t="s">
        <v>38</v>
      </c>
      <c r="D100" s="51" t="s">
        <v>142</v>
      </c>
      <c r="E100" s="52">
        <v>42170</v>
      </c>
      <c r="F100" s="53">
        <f>(1.75+3)/2</f>
        <v>2.375</v>
      </c>
      <c r="G100" s="54">
        <v>42290</v>
      </c>
      <c r="H100" s="55">
        <v>8.51</v>
      </c>
      <c r="I100" s="53">
        <v>100</v>
      </c>
      <c r="J100" s="56">
        <f t="shared" si="1"/>
        <v>851</v>
      </c>
      <c r="L100" s="57"/>
    </row>
    <row r="101" spans="1:12">
      <c r="A101" s="173"/>
      <c r="B101" s="22" t="s">
        <v>143</v>
      </c>
      <c r="C101" s="24" t="s">
        <v>38</v>
      </c>
      <c r="D101" s="58" t="s">
        <v>144</v>
      </c>
      <c r="E101" s="59">
        <v>42170</v>
      </c>
      <c r="F101" s="60">
        <f>(1.75+3)/2</f>
        <v>2.375</v>
      </c>
      <c r="G101" s="61">
        <v>42290</v>
      </c>
      <c r="H101" s="62">
        <v>9.3000000000000007</v>
      </c>
      <c r="I101" s="60">
        <v>100</v>
      </c>
      <c r="J101" s="63">
        <f t="shared" si="1"/>
        <v>930.00000000000011</v>
      </c>
      <c r="L101" s="57"/>
    </row>
    <row r="102" spans="1:12">
      <c r="A102" s="173"/>
      <c r="B102" s="22" t="s">
        <v>145</v>
      </c>
      <c r="C102" s="24" t="s">
        <v>38</v>
      </c>
      <c r="D102" s="29" t="s">
        <v>146</v>
      </c>
      <c r="E102" s="59">
        <v>42170</v>
      </c>
      <c r="F102" s="60">
        <v>0.5</v>
      </c>
      <c r="G102" s="61">
        <v>42291</v>
      </c>
      <c r="H102" s="62">
        <v>4.68</v>
      </c>
      <c r="I102" s="60">
        <v>100</v>
      </c>
      <c r="J102" s="63">
        <f t="shared" si="1"/>
        <v>468</v>
      </c>
      <c r="L102" s="57"/>
    </row>
    <row r="103" spans="1:12">
      <c r="A103" s="173"/>
      <c r="B103" s="22" t="s">
        <v>147</v>
      </c>
      <c r="C103" s="24" t="s">
        <v>38</v>
      </c>
      <c r="D103" s="64" t="s">
        <v>142</v>
      </c>
      <c r="E103" s="59">
        <v>42174</v>
      </c>
      <c r="F103" s="60">
        <v>2.5</v>
      </c>
      <c r="G103" s="61">
        <v>42290</v>
      </c>
      <c r="H103" s="65">
        <v>3.21</v>
      </c>
      <c r="I103" s="60">
        <v>100</v>
      </c>
      <c r="J103" s="63">
        <f t="shared" si="1"/>
        <v>321</v>
      </c>
      <c r="L103" s="57"/>
    </row>
    <row r="104" spans="1:12">
      <c r="A104" s="173"/>
      <c r="B104" s="22" t="s">
        <v>148</v>
      </c>
      <c r="C104" s="24" t="s">
        <v>38</v>
      </c>
      <c r="D104" s="58" t="s">
        <v>144</v>
      </c>
      <c r="E104" s="59">
        <v>42174</v>
      </c>
      <c r="F104" s="60">
        <v>2.5</v>
      </c>
      <c r="G104" s="61">
        <v>42290</v>
      </c>
      <c r="H104" s="66">
        <v>19.13</v>
      </c>
      <c r="I104" s="60">
        <v>100</v>
      </c>
      <c r="J104" s="63">
        <f t="shared" si="1"/>
        <v>1913</v>
      </c>
      <c r="L104" s="57"/>
    </row>
    <row r="105" spans="1:12">
      <c r="A105" s="173"/>
      <c r="B105" s="22" t="s">
        <v>149</v>
      </c>
      <c r="C105" s="24" t="s">
        <v>38</v>
      </c>
      <c r="D105" s="29" t="s">
        <v>146</v>
      </c>
      <c r="E105" s="59">
        <v>42174</v>
      </c>
      <c r="F105" s="60">
        <v>0.56000000000000005</v>
      </c>
      <c r="G105" s="61">
        <v>42291</v>
      </c>
      <c r="H105" s="66">
        <v>23.32</v>
      </c>
      <c r="I105" s="60">
        <v>100</v>
      </c>
      <c r="J105" s="63">
        <f t="shared" si="1"/>
        <v>2332</v>
      </c>
      <c r="L105" s="57"/>
    </row>
    <row r="106" spans="1:12">
      <c r="A106" s="173"/>
      <c r="B106" s="22" t="s">
        <v>150</v>
      </c>
      <c r="C106" s="24" t="s">
        <v>38</v>
      </c>
      <c r="D106" s="64" t="s">
        <v>142</v>
      </c>
      <c r="E106" s="59">
        <v>42177</v>
      </c>
      <c r="F106" s="60">
        <f>3.25/2</f>
        <v>1.625</v>
      </c>
      <c r="G106" s="61">
        <v>42290</v>
      </c>
      <c r="H106" s="66">
        <v>3.15</v>
      </c>
      <c r="I106" s="60">
        <v>100</v>
      </c>
      <c r="J106" s="63">
        <f t="shared" si="1"/>
        <v>315</v>
      </c>
      <c r="L106" s="57"/>
    </row>
    <row r="107" spans="1:12">
      <c r="A107" s="173"/>
      <c r="B107" s="22" t="s">
        <v>151</v>
      </c>
      <c r="C107" s="24" t="s">
        <v>38</v>
      </c>
      <c r="D107" s="58" t="s">
        <v>144</v>
      </c>
      <c r="E107" s="59">
        <v>42177</v>
      </c>
      <c r="F107" s="60">
        <f>3.25/2</f>
        <v>1.625</v>
      </c>
      <c r="G107" s="61">
        <v>42290</v>
      </c>
      <c r="H107" s="66">
        <v>17.66</v>
      </c>
      <c r="I107" s="60">
        <v>100</v>
      </c>
      <c r="J107" s="63">
        <f t="shared" si="1"/>
        <v>1766</v>
      </c>
      <c r="L107" s="57"/>
    </row>
    <row r="108" spans="1:12">
      <c r="A108" s="173"/>
      <c r="B108" s="22" t="s">
        <v>152</v>
      </c>
      <c r="C108" s="24" t="s">
        <v>38</v>
      </c>
      <c r="D108" s="29" t="s">
        <v>146</v>
      </c>
      <c r="E108" s="59">
        <v>42177</v>
      </c>
      <c r="F108" s="60">
        <v>0.2</v>
      </c>
      <c r="G108" s="61">
        <v>42291</v>
      </c>
      <c r="H108" s="66">
        <v>17.079999999999998</v>
      </c>
      <c r="I108" s="60">
        <v>100</v>
      </c>
      <c r="J108" s="63">
        <f t="shared" si="1"/>
        <v>1707.9999999999998</v>
      </c>
      <c r="L108" s="57"/>
    </row>
    <row r="109" spans="1:12">
      <c r="A109" s="173"/>
      <c r="B109" s="22" t="s">
        <v>153</v>
      </c>
      <c r="C109" s="24" t="s">
        <v>38</v>
      </c>
      <c r="D109" s="64" t="s">
        <v>142</v>
      </c>
      <c r="E109" s="59">
        <v>42181</v>
      </c>
      <c r="F109" s="60">
        <v>2</v>
      </c>
      <c r="G109" s="61">
        <v>42290</v>
      </c>
      <c r="H109" s="66">
        <v>9.19</v>
      </c>
      <c r="I109" s="60">
        <v>100</v>
      </c>
      <c r="J109" s="63">
        <f t="shared" si="1"/>
        <v>919</v>
      </c>
      <c r="L109" s="57"/>
    </row>
    <row r="110" spans="1:12">
      <c r="A110" s="173"/>
      <c r="B110" s="22" t="s">
        <v>154</v>
      </c>
      <c r="C110" s="24" t="s">
        <v>38</v>
      </c>
      <c r="D110" s="58" t="s">
        <v>144</v>
      </c>
      <c r="E110" s="59">
        <v>42181</v>
      </c>
      <c r="F110" s="60">
        <v>2</v>
      </c>
      <c r="G110" s="61">
        <v>42290</v>
      </c>
      <c r="H110" s="66">
        <v>5.57</v>
      </c>
      <c r="I110" s="60">
        <v>100</v>
      </c>
      <c r="J110" s="63">
        <f t="shared" si="1"/>
        <v>557</v>
      </c>
      <c r="L110" s="57"/>
    </row>
    <row r="111" spans="1:12">
      <c r="A111" s="173"/>
      <c r="B111" s="22" t="s">
        <v>155</v>
      </c>
      <c r="C111" s="24" t="s">
        <v>38</v>
      </c>
      <c r="D111" s="29" t="s">
        <v>146</v>
      </c>
      <c r="E111" s="59">
        <v>42181</v>
      </c>
      <c r="F111" s="60">
        <v>0.45</v>
      </c>
      <c r="G111" s="61">
        <v>42291</v>
      </c>
      <c r="H111" s="66">
        <v>39.96</v>
      </c>
      <c r="I111" s="60">
        <v>100</v>
      </c>
      <c r="J111" s="63">
        <f t="shared" si="1"/>
        <v>3996</v>
      </c>
      <c r="L111" s="57"/>
    </row>
    <row r="112" spans="1:12">
      <c r="A112" s="173"/>
      <c r="B112" s="22" t="s">
        <v>156</v>
      </c>
      <c r="C112" s="24" t="s">
        <v>38</v>
      </c>
      <c r="D112" s="64" t="s">
        <v>142</v>
      </c>
      <c r="E112" s="59">
        <v>42184</v>
      </c>
      <c r="F112" s="60">
        <f>3.4/2</f>
        <v>1.7</v>
      </c>
      <c r="G112" s="61">
        <v>42290</v>
      </c>
      <c r="H112" s="66">
        <v>3.72</v>
      </c>
      <c r="I112" s="60">
        <v>100</v>
      </c>
      <c r="J112" s="63">
        <f t="shared" si="1"/>
        <v>372</v>
      </c>
      <c r="L112" s="57"/>
    </row>
    <row r="113" spans="1:12">
      <c r="A113" s="173"/>
      <c r="B113" s="22" t="s">
        <v>157</v>
      </c>
      <c r="C113" s="24" t="s">
        <v>38</v>
      </c>
      <c r="D113" s="58" t="s">
        <v>144</v>
      </c>
      <c r="E113" s="59">
        <v>42184</v>
      </c>
      <c r="F113" s="60">
        <f>3.4/2</f>
        <v>1.7</v>
      </c>
      <c r="G113" s="61">
        <v>42290</v>
      </c>
      <c r="H113" s="66">
        <v>11.94</v>
      </c>
      <c r="I113" s="60">
        <v>100</v>
      </c>
      <c r="J113" s="63">
        <f t="shared" si="1"/>
        <v>1194</v>
      </c>
      <c r="L113" s="57"/>
    </row>
    <row r="114" spans="1:12">
      <c r="A114" s="173"/>
      <c r="B114" s="22" t="s">
        <v>158</v>
      </c>
      <c r="C114" s="24" t="s">
        <v>38</v>
      </c>
      <c r="D114" s="29" t="s">
        <v>146</v>
      </c>
      <c r="E114" s="59">
        <v>42184</v>
      </c>
      <c r="F114" s="60">
        <v>0.5</v>
      </c>
      <c r="G114" s="61">
        <v>42291</v>
      </c>
      <c r="H114" s="66">
        <v>8.61</v>
      </c>
      <c r="I114" s="60">
        <v>100</v>
      </c>
      <c r="J114" s="63">
        <f t="shared" si="1"/>
        <v>861</v>
      </c>
      <c r="L114" s="57"/>
    </row>
    <row r="115" spans="1:12">
      <c r="A115" s="173"/>
      <c r="B115" s="22" t="s">
        <v>159</v>
      </c>
      <c r="C115" s="24" t="s">
        <v>38</v>
      </c>
      <c r="D115" s="64" t="s">
        <v>142</v>
      </c>
      <c r="E115" s="59">
        <v>42187</v>
      </c>
      <c r="F115" s="60">
        <v>1.5</v>
      </c>
      <c r="G115" s="61">
        <v>42290</v>
      </c>
      <c r="H115" s="66">
        <v>4.18</v>
      </c>
      <c r="I115" s="60">
        <v>100</v>
      </c>
      <c r="J115" s="63">
        <f t="shared" si="1"/>
        <v>418</v>
      </c>
      <c r="L115" s="57"/>
    </row>
    <row r="116" spans="1:12">
      <c r="A116" s="173"/>
      <c r="B116" s="22" t="s">
        <v>160</v>
      </c>
      <c r="C116" s="24" t="s">
        <v>38</v>
      </c>
      <c r="D116" s="58" t="s">
        <v>144</v>
      </c>
      <c r="E116" s="59">
        <v>42187</v>
      </c>
      <c r="F116" s="60">
        <v>1.5</v>
      </c>
      <c r="G116" s="61">
        <v>42290</v>
      </c>
      <c r="H116" s="66">
        <v>13.47</v>
      </c>
      <c r="I116" s="60">
        <v>100</v>
      </c>
      <c r="J116" s="63">
        <f t="shared" si="1"/>
        <v>1347</v>
      </c>
      <c r="L116" s="57"/>
    </row>
    <row r="117" spans="1:12">
      <c r="A117" s="173"/>
      <c r="B117" s="22" t="s">
        <v>161</v>
      </c>
      <c r="C117" s="24" t="s">
        <v>38</v>
      </c>
      <c r="D117" s="29" t="s">
        <v>146</v>
      </c>
      <c r="E117" s="59">
        <v>42187</v>
      </c>
      <c r="F117" s="60">
        <v>0.45</v>
      </c>
      <c r="G117" s="61">
        <v>42291</v>
      </c>
      <c r="H117" s="66">
        <v>9.08</v>
      </c>
      <c r="I117" s="60">
        <v>100</v>
      </c>
      <c r="J117" s="67">
        <f t="shared" si="1"/>
        <v>908</v>
      </c>
      <c r="L117" s="57"/>
    </row>
    <row r="118" spans="1:12">
      <c r="A118" s="173"/>
      <c r="B118" s="22" t="s">
        <v>162</v>
      </c>
      <c r="C118" s="24" t="s">
        <v>38</v>
      </c>
      <c r="D118" s="64" t="s">
        <v>142</v>
      </c>
      <c r="E118" s="59">
        <v>42191</v>
      </c>
      <c r="F118" s="60">
        <f>8.13/2</f>
        <v>4.0650000000000004</v>
      </c>
      <c r="G118" s="61">
        <v>42297</v>
      </c>
      <c r="H118" s="66">
        <v>25.404</v>
      </c>
      <c r="I118" s="60">
        <v>100</v>
      </c>
      <c r="J118" s="67">
        <f t="shared" si="1"/>
        <v>2540.4</v>
      </c>
      <c r="L118" s="57"/>
    </row>
    <row r="119" spans="1:12">
      <c r="A119" s="173"/>
      <c r="B119" s="22" t="s">
        <v>163</v>
      </c>
      <c r="C119" s="24" t="s">
        <v>38</v>
      </c>
      <c r="D119" s="58" t="s">
        <v>144</v>
      </c>
      <c r="E119" s="59">
        <v>42191</v>
      </c>
      <c r="F119" s="60">
        <f>8.13/2</f>
        <v>4.0650000000000004</v>
      </c>
      <c r="G119" s="61">
        <v>42297</v>
      </c>
      <c r="H119" s="65">
        <v>20.548999999999999</v>
      </c>
      <c r="I119" s="60">
        <v>100</v>
      </c>
      <c r="J119" s="67">
        <f t="shared" si="1"/>
        <v>2054.9</v>
      </c>
      <c r="L119" s="57"/>
    </row>
    <row r="120" spans="1:12">
      <c r="A120" s="173"/>
      <c r="B120" s="22" t="s">
        <v>164</v>
      </c>
      <c r="C120" s="24" t="s">
        <v>38</v>
      </c>
      <c r="D120" s="29" t="s">
        <v>146</v>
      </c>
      <c r="E120" s="59">
        <v>42191</v>
      </c>
      <c r="F120" s="60">
        <v>0.75</v>
      </c>
      <c r="G120" s="61">
        <v>42297</v>
      </c>
      <c r="H120" s="65">
        <v>43.895000000000003</v>
      </c>
      <c r="I120" s="60">
        <v>100</v>
      </c>
      <c r="J120" s="67">
        <f t="shared" si="1"/>
        <v>4389.5</v>
      </c>
      <c r="L120" s="57"/>
    </row>
    <row r="121" spans="1:12">
      <c r="A121" s="173"/>
      <c r="B121" s="22" t="s">
        <v>165</v>
      </c>
      <c r="C121" s="24" t="s">
        <v>38</v>
      </c>
      <c r="D121" s="64" t="s">
        <v>142</v>
      </c>
      <c r="E121" s="59">
        <v>42194</v>
      </c>
      <c r="F121" s="60">
        <v>1.25</v>
      </c>
      <c r="G121" s="61">
        <v>42297</v>
      </c>
      <c r="H121" s="65">
        <v>2.0369999999999999</v>
      </c>
      <c r="I121" s="60">
        <v>100</v>
      </c>
      <c r="J121" s="67">
        <f t="shared" si="1"/>
        <v>203.7</v>
      </c>
      <c r="L121" s="57"/>
    </row>
    <row r="122" spans="1:12">
      <c r="A122" s="173"/>
      <c r="B122" s="22" t="s">
        <v>166</v>
      </c>
      <c r="C122" s="24" t="s">
        <v>38</v>
      </c>
      <c r="D122" s="58" t="s">
        <v>144</v>
      </c>
      <c r="E122" s="59">
        <v>42194</v>
      </c>
      <c r="F122" s="60">
        <v>1.25</v>
      </c>
      <c r="G122" s="61">
        <v>42297</v>
      </c>
      <c r="H122" s="65">
        <v>64.769000000000005</v>
      </c>
      <c r="I122" s="60">
        <v>100</v>
      </c>
      <c r="J122" s="67">
        <f t="shared" si="1"/>
        <v>6476.9000000000005</v>
      </c>
      <c r="L122" s="57"/>
    </row>
    <row r="123" spans="1:12">
      <c r="A123" s="173"/>
      <c r="B123" s="22" t="s">
        <v>167</v>
      </c>
      <c r="C123" s="24" t="s">
        <v>38</v>
      </c>
      <c r="D123" s="29" t="s">
        <v>146</v>
      </c>
      <c r="E123" s="59">
        <v>42194</v>
      </c>
      <c r="F123" s="60">
        <v>0.65</v>
      </c>
      <c r="G123" s="61">
        <v>42297</v>
      </c>
      <c r="H123" s="65">
        <v>18.100999999999999</v>
      </c>
      <c r="I123" s="60">
        <v>100</v>
      </c>
      <c r="J123" s="67">
        <f t="shared" si="1"/>
        <v>1810.1</v>
      </c>
      <c r="L123" s="57"/>
    </row>
    <row r="124" spans="1:12">
      <c r="A124" s="173"/>
      <c r="B124" s="22" t="s">
        <v>168</v>
      </c>
      <c r="C124" s="24" t="s">
        <v>38</v>
      </c>
      <c r="D124" s="64" t="s">
        <v>142</v>
      </c>
      <c r="E124" s="59">
        <v>42200</v>
      </c>
      <c r="F124" s="60">
        <f>3.1/2</f>
        <v>1.55</v>
      </c>
      <c r="G124" s="61">
        <v>42299</v>
      </c>
      <c r="H124" s="65">
        <v>13.747</v>
      </c>
      <c r="I124" s="60">
        <v>100</v>
      </c>
      <c r="J124" s="67">
        <f t="shared" si="1"/>
        <v>1374.7</v>
      </c>
      <c r="L124" s="57"/>
    </row>
    <row r="125" spans="1:12">
      <c r="A125" s="173"/>
      <c r="B125" s="22" t="s">
        <v>169</v>
      </c>
      <c r="C125" s="24" t="s">
        <v>38</v>
      </c>
      <c r="D125" s="58" t="s">
        <v>144</v>
      </c>
      <c r="E125" s="59">
        <v>42200</v>
      </c>
      <c r="F125" s="60">
        <f>3.1/2</f>
        <v>1.55</v>
      </c>
      <c r="G125" s="61">
        <v>42299</v>
      </c>
      <c r="H125" s="68">
        <v>4.1820000000000004</v>
      </c>
      <c r="I125" s="60">
        <v>100</v>
      </c>
      <c r="J125" s="67">
        <f t="shared" si="1"/>
        <v>418.20000000000005</v>
      </c>
      <c r="L125" s="57"/>
    </row>
    <row r="126" spans="1:12">
      <c r="A126" s="173"/>
      <c r="B126" s="22" t="s">
        <v>170</v>
      </c>
      <c r="C126" s="24" t="s">
        <v>38</v>
      </c>
      <c r="D126" s="29" t="s">
        <v>146</v>
      </c>
      <c r="E126" s="59">
        <v>42200</v>
      </c>
      <c r="F126" s="60">
        <v>0.5</v>
      </c>
      <c r="G126" s="61">
        <v>42299</v>
      </c>
      <c r="H126" s="65">
        <v>13.653</v>
      </c>
      <c r="I126" s="60">
        <v>100</v>
      </c>
      <c r="J126" s="67">
        <f t="shared" si="1"/>
        <v>1365.3</v>
      </c>
      <c r="L126" s="57"/>
    </row>
    <row r="127" spans="1:12">
      <c r="A127" s="173"/>
      <c r="B127" s="22" t="s">
        <v>171</v>
      </c>
      <c r="C127" s="24" t="s">
        <v>38</v>
      </c>
      <c r="D127" s="64" t="s">
        <v>142</v>
      </c>
      <c r="E127" s="59">
        <v>42205</v>
      </c>
      <c r="F127" s="60">
        <v>1.25</v>
      </c>
      <c r="G127" s="61">
        <v>42299</v>
      </c>
      <c r="H127" s="65">
        <v>5.0780000000000003</v>
      </c>
      <c r="I127" s="60">
        <v>100</v>
      </c>
      <c r="J127" s="67">
        <f t="shared" si="1"/>
        <v>507.8</v>
      </c>
      <c r="L127" s="57"/>
    </row>
    <row r="128" spans="1:12">
      <c r="A128" s="173"/>
      <c r="B128" s="22" t="s">
        <v>172</v>
      </c>
      <c r="C128" s="24" t="s">
        <v>38</v>
      </c>
      <c r="D128" s="58" t="s">
        <v>144</v>
      </c>
      <c r="E128" s="59">
        <v>42205</v>
      </c>
      <c r="F128" s="60">
        <v>1.25</v>
      </c>
      <c r="G128" s="61">
        <v>42299</v>
      </c>
      <c r="H128" s="65">
        <v>16.536000000000001</v>
      </c>
      <c r="I128" s="60">
        <v>100</v>
      </c>
      <c r="J128" s="67">
        <f t="shared" si="1"/>
        <v>1653.6000000000001</v>
      </c>
      <c r="L128" s="57"/>
    </row>
    <row r="129" spans="1:12">
      <c r="A129" s="173"/>
      <c r="B129" s="22" t="s">
        <v>173</v>
      </c>
      <c r="C129" s="24" t="s">
        <v>38</v>
      </c>
      <c r="D129" s="29" t="s">
        <v>146</v>
      </c>
      <c r="E129" s="59">
        <v>42205</v>
      </c>
      <c r="F129" s="60">
        <v>0.7</v>
      </c>
      <c r="G129" s="61">
        <v>42299</v>
      </c>
      <c r="H129" s="65">
        <v>24.338999999999999</v>
      </c>
      <c r="I129" s="60">
        <v>100</v>
      </c>
      <c r="J129" s="67">
        <f t="shared" si="1"/>
        <v>2433.8999999999996</v>
      </c>
      <c r="L129" s="57"/>
    </row>
    <row r="130" spans="1:12">
      <c r="A130" s="173"/>
      <c r="B130" s="22" t="s">
        <v>174</v>
      </c>
      <c r="C130" s="24" t="s">
        <v>38</v>
      </c>
      <c r="D130" s="64" t="s">
        <v>142</v>
      </c>
      <c r="E130" s="59">
        <v>42208</v>
      </c>
      <c r="F130" s="60">
        <f>9.45/2</f>
        <v>4.7249999999999996</v>
      </c>
      <c r="G130" s="61">
        <v>42299</v>
      </c>
      <c r="H130" s="65">
        <v>6.8579999999999997</v>
      </c>
      <c r="I130" s="60">
        <v>100</v>
      </c>
      <c r="J130" s="67">
        <f t="shared" ref="J130:J147" si="2">H130*I130</f>
        <v>685.8</v>
      </c>
      <c r="L130" s="57"/>
    </row>
    <row r="131" spans="1:12">
      <c r="A131" s="173"/>
      <c r="B131" s="22" t="s">
        <v>175</v>
      </c>
      <c r="C131" s="24" t="s">
        <v>38</v>
      </c>
      <c r="D131" s="58" t="s">
        <v>144</v>
      </c>
      <c r="E131" s="59">
        <v>42208</v>
      </c>
      <c r="F131" s="60">
        <f>6.35/2</f>
        <v>3.1749999999999998</v>
      </c>
      <c r="G131" s="61">
        <v>42299</v>
      </c>
      <c r="H131" s="65">
        <v>8.1639999999999997</v>
      </c>
      <c r="I131" s="60">
        <v>100</v>
      </c>
      <c r="J131" s="67">
        <f t="shared" si="2"/>
        <v>816.4</v>
      </c>
      <c r="L131" s="57"/>
    </row>
    <row r="132" spans="1:12">
      <c r="A132" s="173"/>
      <c r="B132" s="22" t="s">
        <v>176</v>
      </c>
      <c r="C132" s="24" t="s">
        <v>38</v>
      </c>
      <c r="D132" s="29" t="s">
        <v>146</v>
      </c>
      <c r="E132" s="59">
        <v>42208</v>
      </c>
      <c r="F132" s="60">
        <v>0.7</v>
      </c>
      <c r="G132" s="61">
        <v>42299</v>
      </c>
      <c r="H132" s="65">
        <v>23.088000000000001</v>
      </c>
      <c r="I132" s="60">
        <v>100</v>
      </c>
      <c r="J132" s="67">
        <f t="shared" si="2"/>
        <v>2308.8000000000002</v>
      </c>
      <c r="L132" s="57"/>
    </row>
    <row r="133" spans="1:12">
      <c r="A133" s="173"/>
      <c r="B133" s="22" t="s">
        <v>177</v>
      </c>
      <c r="C133" s="24" t="s">
        <v>38</v>
      </c>
      <c r="D133" s="64" t="s">
        <v>142</v>
      </c>
      <c r="E133" s="59">
        <v>42213</v>
      </c>
      <c r="F133" s="60">
        <v>5</v>
      </c>
      <c r="G133" s="61">
        <v>42299</v>
      </c>
      <c r="H133" s="66">
        <v>9.8360000000000003</v>
      </c>
      <c r="I133" s="60">
        <v>100</v>
      </c>
      <c r="J133" s="67">
        <f t="shared" si="2"/>
        <v>983.6</v>
      </c>
      <c r="L133" s="57"/>
    </row>
    <row r="134" spans="1:12">
      <c r="A134" s="173"/>
      <c r="B134" s="22" t="s">
        <v>178</v>
      </c>
      <c r="C134" s="24" t="s">
        <v>38</v>
      </c>
      <c r="D134" s="58" t="s">
        <v>144</v>
      </c>
      <c r="E134" s="59">
        <v>42213</v>
      </c>
      <c r="F134" s="60">
        <v>5</v>
      </c>
      <c r="G134" s="61">
        <v>42299</v>
      </c>
      <c r="H134" s="65">
        <v>24.542000000000002</v>
      </c>
      <c r="I134" s="60">
        <v>100</v>
      </c>
      <c r="J134" s="67">
        <f t="shared" si="2"/>
        <v>2454.2000000000003</v>
      </c>
      <c r="L134" s="57"/>
    </row>
    <row r="135" spans="1:12">
      <c r="A135" s="173"/>
      <c r="B135" s="22" t="s">
        <v>179</v>
      </c>
      <c r="C135" s="24" t="s">
        <v>38</v>
      </c>
      <c r="D135" s="29" t="s">
        <v>146</v>
      </c>
      <c r="E135" s="59">
        <v>42213</v>
      </c>
      <c r="F135" s="60">
        <v>0.5</v>
      </c>
      <c r="G135" s="61">
        <v>42299</v>
      </c>
      <c r="H135" s="65">
        <v>39.655999999999999</v>
      </c>
      <c r="I135" s="60">
        <v>100</v>
      </c>
      <c r="J135" s="67">
        <f t="shared" si="2"/>
        <v>3965.6</v>
      </c>
      <c r="L135" s="57"/>
    </row>
    <row r="136" spans="1:12">
      <c r="A136" s="173"/>
      <c r="B136" s="22" t="s">
        <v>180</v>
      </c>
      <c r="C136" s="24" t="s">
        <v>38</v>
      </c>
      <c r="D136" s="64" t="s">
        <v>142</v>
      </c>
      <c r="E136" s="59">
        <v>42215</v>
      </c>
      <c r="F136" s="60">
        <f>9.5</f>
        <v>9.5</v>
      </c>
      <c r="G136" s="61">
        <v>42300</v>
      </c>
      <c r="H136" s="68">
        <v>5.7279999999999998</v>
      </c>
      <c r="I136" s="60">
        <v>100</v>
      </c>
      <c r="J136" s="67">
        <f t="shared" si="2"/>
        <v>572.79999999999995</v>
      </c>
      <c r="L136" s="57"/>
    </row>
    <row r="137" spans="1:12">
      <c r="A137" s="173"/>
      <c r="B137" s="22" t="s">
        <v>181</v>
      </c>
      <c r="C137" s="24" t="s">
        <v>38</v>
      </c>
      <c r="D137" s="58" t="s">
        <v>144</v>
      </c>
      <c r="E137" s="59">
        <v>42215</v>
      </c>
      <c r="F137" s="60">
        <v>9.5</v>
      </c>
      <c r="G137" s="61">
        <v>42300</v>
      </c>
      <c r="H137" s="68">
        <v>14.407</v>
      </c>
      <c r="I137" s="60">
        <v>100</v>
      </c>
      <c r="J137" s="67">
        <f t="shared" si="2"/>
        <v>1440.7</v>
      </c>
      <c r="L137" s="57"/>
    </row>
    <row r="138" spans="1:12">
      <c r="A138" s="173"/>
      <c r="B138" s="22" t="s">
        <v>182</v>
      </c>
      <c r="C138" s="24" t="s">
        <v>38</v>
      </c>
      <c r="D138" s="29" t="s">
        <v>146</v>
      </c>
      <c r="E138" s="59">
        <v>42215</v>
      </c>
      <c r="F138" s="60">
        <v>0.5</v>
      </c>
      <c r="G138" s="61">
        <v>42300</v>
      </c>
      <c r="H138" s="68">
        <v>24.747</v>
      </c>
      <c r="I138" s="60">
        <v>100</v>
      </c>
      <c r="J138" s="67">
        <f t="shared" si="2"/>
        <v>2474.6999999999998</v>
      </c>
      <c r="L138" s="57"/>
    </row>
    <row r="139" spans="1:12">
      <c r="A139" s="173"/>
      <c r="B139" s="22" t="s">
        <v>183</v>
      </c>
      <c r="C139" s="24" t="s">
        <v>38</v>
      </c>
      <c r="D139" s="64" t="s">
        <v>142</v>
      </c>
      <c r="E139" s="69">
        <v>42219</v>
      </c>
      <c r="F139" s="70">
        <v>2</v>
      </c>
      <c r="G139" s="71">
        <v>42300</v>
      </c>
      <c r="H139" s="72">
        <v>15.154999999999999</v>
      </c>
      <c r="I139" s="70">
        <v>100</v>
      </c>
      <c r="J139" s="73">
        <f t="shared" si="2"/>
        <v>1515.5</v>
      </c>
      <c r="L139" s="57"/>
    </row>
    <row r="140" spans="1:12">
      <c r="A140" s="173"/>
      <c r="B140" s="22" t="s">
        <v>184</v>
      </c>
      <c r="C140" s="24" t="s">
        <v>38</v>
      </c>
      <c r="D140" s="58" t="s">
        <v>144</v>
      </c>
      <c r="E140" s="69">
        <v>42219</v>
      </c>
      <c r="F140" s="70">
        <v>2</v>
      </c>
      <c r="G140" s="71">
        <v>42300</v>
      </c>
      <c r="H140" s="72">
        <v>42.002000000000002</v>
      </c>
      <c r="I140" s="70">
        <v>100</v>
      </c>
      <c r="J140" s="73">
        <f t="shared" si="2"/>
        <v>4200.2</v>
      </c>
      <c r="L140" s="57"/>
    </row>
    <row r="141" spans="1:12">
      <c r="A141" s="173"/>
      <c r="B141" s="22" t="s">
        <v>185</v>
      </c>
      <c r="C141" s="24" t="s">
        <v>38</v>
      </c>
      <c r="D141" s="29" t="s">
        <v>146</v>
      </c>
      <c r="E141" s="69">
        <v>42219</v>
      </c>
      <c r="F141" s="70">
        <v>0.5</v>
      </c>
      <c r="G141" s="71">
        <v>42300</v>
      </c>
      <c r="H141" s="72">
        <v>6.1639999999999997</v>
      </c>
      <c r="I141" s="70">
        <v>100</v>
      </c>
      <c r="J141" s="73">
        <f t="shared" si="2"/>
        <v>616.4</v>
      </c>
      <c r="L141" s="57"/>
    </row>
    <row r="142" spans="1:12">
      <c r="A142" s="173"/>
      <c r="B142" s="22" t="s">
        <v>186</v>
      </c>
      <c r="C142" s="24" t="s">
        <v>38</v>
      </c>
      <c r="D142" s="64" t="s">
        <v>142</v>
      </c>
      <c r="E142" s="59">
        <v>42222</v>
      </c>
      <c r="F142" s="60">
        <v>1.5</v>
      </c>
      <c r="G142" s="61">
        <v>42300</v>
      </c>
      <c r="H142" s="68">
        <v>4.0590000000000002</v>
      </c>
      <c r="I142" s="60">
        <v>100</v>
      </c>
      <c r="J142" s="67">
        <f t="shared" si="2"/>
        <v>405.90000000000003</v>
      </c>
      <c r="L142" s="57"/>
    </row>
    <row r="143" spans="1:12">
      <c r="A143" s="173"/>
      <c r="B143" s="22" t="s">
        <v>187</v>
      </c>
      <c r="C143" s="24" t="s">
        <v>38</v>
      </c>
      <c r="D143" s="58" t="s">
        <v>144</v>
      </c>
      <c r="E143" s="59">
        <v>42222</v>
      </c>
      <c r="F143" s="60">
        <v>1.5</v>
      </c>
      <c r="G143" s="61">
        <v>42300</v>
      </c>
      <c r="H143" s="68">
        <v>15.545999999999999</v>
      </c>
      <c r="I143" s="60">
        <v>100</v>
      </c>
      <c r="J143" s="67">
        <f t="shared" si="2"/>
        <v>1554.6</v>
      </c>
      <c r="L143" s="57"/>
    </row>
    <row r="144" spans="1:12">
      <c r="A144" s="173"/>
      <c r="B144" s="22" t="s">
        <v>188</v>
      </c>
      <c r="C144" s="24" t="s">
        <v>38</v>
      </c>
      <c r="D144" s="29" t="s">
        <v>146</v>
      </c>
      <c r="E144" s="59">
        <v>42222</v>
      </c>
      <c r="F144" s="60">
        <v>0.55000000000000004</v>
      </c>
      <c r="G144" s="61">
        <v>42300</v>
      </c>
      <c r="H144" s="68">
        <v>21.361999999999998</v>
      </c>
      <c r="I144" s="60">
        <v>100</v>
      </c>
      <c r="J144" s="67">
        <f t="shared" si="2"/>
        <v>2136.1999999999998</v>
      </c>
      <c r="L144" s="57"/>
    </row>
    <row r="145" spans="1:12">
      <c r="A145" s="173"/>
      <c r="B145" s="22" t="s">
        <v>189</v>
      </c>
      <c r="C145" s="24" t="s">
        <v>38</v>
      </c>
      <c r="D145" s="64" t="s">
        <v>142</v>
      </c>
      <c r="E145" s="59">
        <v>42227</v>
      </c>
      <c r="F145" s="60">
        <f>4.75/2</f>
        <v>2.375</v>
      </c>
      <c r="G145" s="61">
        <v>42300</v>
      </c>
      <c r="H145" s="72">
        <v>8.827</v>
      </c>
      <c r="I145" s="60">
        <v>100</v>
      </c>
      <c r="J145" s="67">
        <f t="shared" si="2"/>
        <v>882.7</v>
      </c>
      <c r="L145" s="57"/>
    </row>
    <row r="146" spans="1:12">
      <c r="A146" s="173"/>
      <c r="B146" s="22" t="s">
        <v>190</v>
      </c>
      <c r="C146" s="24" t="s">
        <v>38</v>
      </c>
      <c r="D146" s="58" t="s">
        <v>144</v>
      </c>
      <c r="E146" s="59">
        <v>42227</v>
      </c>
      <c r="F146" s="60">
        <f>4.75/2</f>
        <v>2.375</v>
      </c>
      <c r="G146" s="61">
        <v>42300</v>
      </c>
      <c r="H146" s="72">
        <v>20.25</v>
      </c>
      <c r="I146" s="60">
        <v>100</v>
      </c>
      <c r="J146" s="67">
        <f t="shared" si="2"/>
        <v>2025</v>
      </c>
      <c r="L146" s="57"/>
    </row>
    <row r="147" spans="1:12" ht="15.75" thickBot="1">
      <c r="A147" s="174"/>
      <c r="B147" s="74" t="s">
        <v>191</v>
      </c>
      <c r="C147" s="75" t="s">
        <v>38</v>
      </c>
      <c r="D147" s="76" t="s">
        <v>146</v>
      </c>
      <c r="E147" s="77">
        <v>42227</v>
      </c>
      <c r="F147" s="78">
        <v>0.6</v>
      </c>
      <c r="G147" s="79">
        <v>42300</v>
      </c>
      <c r="H147" s="80">
        <v>10.412000000000001</v>
      </c>
      <c r="I147" s="78">
        <v>100</v>
      </c>
      <c r="J147" s="81">
        <f t="shared" si="2"/>
        <v>1041.2</v>
      </c>
      <c r="L147" s="57"/>
    </row>
    <row r="148" spans="1:12">
      <c r="L148" s="57"/>
    </row>
  </sheetData>
  <mergeCells count="3">
    <mergeCell ref="A2:A33"/>
    <mergeCell ref="A34:A99"/>
    <mergeCell ref="A100:A147"/>
  </mergeCells>
  <pageMargins left="0.70866141732283472" right="0.70866141732283472" top="0.74803149606299213" bottom="0.74803149606299213" header="0.31496062992125984" footer="0.31496062992125984"/>
  <pageSetup paperSize="9" scale="61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7"/>
  <sheetViews>
    <sheetView workbookViewId="0">
      <selection activeCell="M16" sqref="M16"/>
    </sheetView>
  </sheetViews>
  <sheetFormatPr baseColWidth="10" defaultRowHeight="15"/>
  <cols>
    <col min="1" max="16384" width="11" style="82"/>
  </cols>
  <sheetData>
    <row r="1" spans="1:10" ht="45.75" thickBot="1">
      <c r="B1" s="13" t="s">
        <v>338</v>
      </c>
      <c r="C1" s="14" t="s">
        <v>28</v>
      </c>
      <c r="D1" s="13" t="s">
        <v>29</v>
      </c>
      <c r="E1" s="14" t="s">
        <v>30</v>
      </c>
      <c r="F1" s="13" t="s">
        <v>31</v>
      </c>
      <c r="G1" s="14" t="s">
        <v>32</v>
      </c>
      <c r="H1" s="13" t="s">
        <v>33</v>
      </c>
      <c r="I1" s="14" t="s">
        <v>34</v>
      </c>
      <c r="J1" s="13" t="s">
        <v>35</v>
      </c>
    </row>
    <row r="2" spans="1:10">
      <c r="A2" s="175" t="s">
        <v>36</v>
      </c>
      <c r="B2" s="94" t="s">
        <v>192</v>
      </c>
      <c r="C2" s="95" t="s">
        <v>38</v>
      </c>
      <c r="D2" s="96" t="s">
        <v>39</v>
      </c>
      <c r="E2" s="95">
        <v>41460</v>
      </c>
      <c r="F2" s="97">
        <v>1.4</v>
      </c>
      <c r="G2" s="98">
        <v>41913</v>
      </c>
      <c r="H2" s="99">
        <v>1.8839999999999999</v>
      </c>
      <c r="I2" s="97">
        <v>100</v>
      </c>
      <c r="J2" s="100">
        <f t="shared" ref="J2:J33" si="0">H2*I2</f>
        <v>188.39999999999998</v>
      </c>
    </row>
    <row r="3" spans="1:10">
      <c r="A3" s="176"/>
      <c r="B3" s="101" t="s">
        <v>193</v>
      </c>
      <c r="C3" s="83" t="s">
        <v>38</v>
      </c>
      <c r="D3" s="88" t="s">
        <v>51</v>
      </c>
      <c r="E3" s="83">
        <v>41460</v>
      </c>
      <c r="F3" s="85">
        <v>1.4</v>
      </c>
      <c r="G3" s="86">
        <v>41914</v>
      </c>
      <c r="H3" s="87">
        <v>13.927</v>
      </c>
      <c r="I3" s="85">
        <v>100</v>
      </c>
      <c r="J3" s="102">
        <f t="shared" si="0"/>
        <v>1392.7</v>
      </c>
    </row>
    <row r="4" spans="1:10">
      <c r="A4" s="176"/>
      <c r="B4" s="101" t="s">
        <v>194</v>
      </c>
      <c r="C4" s="83" t="s">
        <v>38</v>
      </c>
      <c r="D4" s="84" t="s">
        <v>39</v>
      </c>
      <c r="E4" s="83">
        <v>41463</v>
      </c>
      <c r="F4" s="85">
        <v>1.415</v>
      </c>
      <c r="G4" s="86">
        <v>41913</v>
      </c>
      <c r="H4" s="87">
        <v>6.5679999999999996</v>
      </c>
      <c r="I4" s="85">
        <v>100</v>
      </c>
      <c r="J4" s="102">
        <f t="shared" si="0"/>
        <v>656.8</v>
      </c>
    </row>
    <row r="5" spans="1:10">
      <c r="A5" s="176"/>
      <c r="B5" s="101" t="s">
        <v>195</v>
      </c>
      <c r="C5" s="83" t="s">
        <v>38</v>
      </c>
      <c r="D5" s="89" t="s">
        <v>51</v>
      </c>
      <c r="E5" s="83">
        <v>41463</v>
      </c>
      <c r="F5" s="85">
        <v>1.415</v>
      </c>
      <c r="G5" s="86">
        <v>41914</v>
      </c>
      <c r="H5" s="87">
        <v>17.914000000000001</v>
      </c>
      <c r="I5" s="85">
        <v>100</v>
      </c>
      <c r="J5" s="102">
        <f t="shared" si="0"/>
        <v>1791.4</v>
      </c>
    </row>
    <row r="6" spans="1:10">
      <c r="A6" s="176"/>
      <c r="B6" s="101" t="s">
        <v>196</v>
      </c>
      <c r="C6" s="83" t="s">
        <v>38</v>
      </c>
      <c r="D6" s="90" t="s">
        <v>63</v>
      </c>
      <c r="E6" s="83">
        <v>41463</v>
      </c>
      <c r="F6" s="85">
        <v>0.7</v>
      </c>
      <c r="G6" s="91">
        <v>41915</v>
      </c>
      <c r="H6" s="87">
        <v>10.669</v>
      </c>
      <c r="I6" s="92">
        <v>100</v>
      </c>
      <c r="J6" s="33">
        <f t="shared" si="0"/>
        <v>1066.9000000000001</v>
      </c>
    </row>
    <row r="7" spans="1:10">
      <c r="A7" s="176"/>
      <c r="B7" s="101" t="s">
        <v>197</v>
      </c>
      <c r="C7" s="83" t="s">
        <v>38</v>
      </c>
      <c r="D7" s="84" t="s">
        <v>39</v>
      </c>
      <c r="E7" s="83">
        <v>41466</v>
      </c>
      <c r="F7" s="85">
        <v>1.5</v>
      </c>
      <c r="G7" s="86">
        <v>41913</v>
      </c>
      <c r="H7" s="87">
        <v>4.641</v>
      </c>
      <c r="I7" s="85">
        <v>100</v>
      </c>
      <c r="J7" s="102">
        <f t="shared" si="0"/>
        <v>464.1</v>
      </c>
    </row>
    <row r="8" spans="1:10">
      <c r="A8" s="176"/>
      <c r="B8" s="101" t="s">
        <v>198</v>
      </c>
      <c r="C8" s="83" t="s">
        <v>38</v>
      </c>
      <c r="D8" s="88" t="s">
        <v>51</v>
      </c>
      <c r="E8" s="83">
        <v>41466</v>
      </c>
      <c r="F8" s="85">
        <v>1.5</v>
      </c>
      <c r="G8" s="86">
        <v>41914</v>
      </c>
      <c r="H8" s="87">
        <v>13.384</v>
      </c>
      <c r="I8" s="85">
        <v>100</v>
      </c>
      <c r="J8" s="102">
        <f t="shared" si="0"/>
        <v>1338.4</v>
      </c>
    </row>
    <row r="9" spans="1:10">
      <c r="A9" s="176"/>
      <c r="B9" s="101" t="s">
        <v>199</v>
      </c>
      <c r="C9" s="83" t="s">
        <v>38</v>
      </c>
      <c r="D9" s="90" t="s">
        <v>63</v>
      </c>
      <c r="E9" s="83">
        <v>41466</v>
      </c>
      <c r="F9" s="85">
        <v>0.74</v>
      </c>
      <c r="G9" s="91">
        <v>41915</v>
      </c>
      <c r="H9" s="87">
        <v>25.382999999999999</v>
      </c>
      <c r="I9" s="92">
        <v>100</v>
      </c>
      <c r="J9" s="33">
        <f t="shared" si="0"/>
        <v>2538.2999999999997</v>
      </c>
    </row>
    <row r="10" spans="1:10">
      <c r="A10" s="176"/>
      <c r="B10" s="101" t="s">
        <v>200</v>
      </c>
      <c r="C10" s="83" t="s">
        <v>38</v>
      </c>
      <c r="D10" s="84" t="s">
        <v>39</v>
      </c>
      <c r="E10" s="83">
        <v>41470</v>
      </c>
      <c r="F10" s="85">
        <v>1.4</v>
      </c>
      <c r="G10" s="86">
        <v>41913</v>
      </c>
      <c r="H10" s="87">
        <v>14.068</v>
      </c>
      <c r="I10" s="85">
        <v>100</v>
      </c>
      <c r="J10" s="102">
        <f t="shared" si="0"/>
        <v>1406.8</v>
      </c>
    </row>
    <row r="11" spans="1:10">
      <c r="A11" s="176"/>
      <c r="B11" s="101" t="s">
        <v>201</v>
      </c>
      <c r="C11" s="83" t="s">
        <v>38</v>
      </c>
      <c r="D11" s="88" t="s">
        <v>51</v>
      </c>
      <c r="E11" s="83">
        <v>41470</v>
      </c>
      <c r="F11" s="85">
        <v>1.4</v>
      </c>
      <c r="G11" s="86">
        <v>41914</v>
      </c>
      <c r="H11" s="87">
        <v>12.13</v>
      </c>
      <c r="I11" s="85">
        <v>100</v>
      </c>
      <c r="J11" s="102">
        <f t="shared" si="0"/>
        <v>1213</v>
      </c>
    </row>
    <row r="12" spans="1:10">
      <c r="A12" s="176"/>
      <c r="B12" s="101" t="s">
        <v>202</v>
      </c>
      <c r="C12" s="83" t="s">
        <v>38</v>
      </c>
      <c r="D12" s="90" t="s">
        <v>63</v>
      </c>
      <c r="E12" s="83">
        <v>41470</v>
      </c>
      <c r="F12" s="85">
        <v>0.79</v>
      </c>
      <c r="G12" s="91">
        <v>41915</v>
      </c>
      <c r="H12" s="87">
        <v>52.027999999999999</v>
      </c>
      <c r="I12" s="92">
        <v>100</v>
      </c>
      <c r="J12" s="33">
        <f t="shared" si="0"/>
        <v>5202.8</v>
      </c>
    </row>
    <row r="13" spans="1:10">
      <c r="A13" s="176"/>
      <c r="B13" s="101" t="s">
        <v>203</v>
      </c>
      <c r="C13" s="83" t="s">
        <v>38</v>
      </c>
      <c r="D13" s="93" t="s">
        <v>39</v>
      </c>
      <c r="E13" s="83">
        <v>41473</v>
      </c>
      <c r="F13" s="85">
        <v>1.5</v>
      </c>
      <c r="G13" s="86">
        <v>41913</v>
      </c>
      <c r="H13" s="87">
        <v>9.9459999999999997</v>
      </c>
      <c r="I13" s="85">
        <v>100</v>
      </c>
      <c r="J13" s="102">
        <f t="shared" si="0"/>
        <v>994.6</v>
      </c>
    </row>
    <row r="14" spans="1:10">
      <c r="A14" s="176"/>
      <c r="B14" s="101" t="s">
        <v>204</v>
      </c>
      <c r="C14" s="83" t="s">
        <v>38</v>
      </c>
      <c r="D14" s="88" t="s">
        <v>51</v>
      </c>
      <c r="E14" s="83">
        <v>41473</v>
      </c>
      <c r="F14" s="85">
        <v>1.5</v>
      </c>
      <c r="G14" s="86">
        <v>41914</v>
      </c>
      <c r="H14" s="87">
        <v>14.670999999999999</v>
      </c>
      <c r="I14" s="85">
        <v>100</v>
      </c>
      <c r="J14" s="102">
        <f t="shared" si="0"/>
        <v>1467.1</v>
      </c>
    </row>
    <row r="15" spans="1:10">
      <c r="A15" s="176"/>
      <c r="B15" s="101" t="s">
        <v>205</v>
      </c>
      <c r="C15" s="83" t="s">
        <v>38</v>
      </c>
      <c r="D15" s="90" t="s">
        <v>63</v>
      </c>
      <c r="E15" s="83">
        <v>41473</v>
      </c>
      <c r="F15" s="85">
        <v>0.7</v>
      </c>
      <c r="G15" s="91">
        <v>41915</v>
      </c>
      <c r="H15" s="87">
        <v>12.294</v>
      </c>
      <c r="I15" s="92">
        <v>100</v>
      </c>
      <c r="J15" s="33">
        <f t="shared" si="0"/>
        <v>1229.4000000000001</v>
      </c>
    </row>
    <row r="16" spans="1:10">
      <c r="A16" s="176"/>
      <c r="B16" s="101" t="s">
        <v>206</v>
      </c>
      <c r="C16" s="83" t="s">
        <v>38</v>
      </c>
      <c r="D16" s="84" t="s">
        <v>39</v>
      </c>
      <c r="E16" s="83">
        <v>41477</v>
      </c>
      <c r="F16" s="85">
        <v>1.25</v>
      </c>
      <c r="G16" s="86">
        <v>41913</v>
      </c>
      <c r="H16" s="87">
        <v>8.6219999999999999</v>
      </c>
      <c r="I16" s="85">
        <v>100</v>
      </c>
      <c r="J16" s="102">
        <f t="shared" si="0"/>
        <v>862.2</v>
      </c>
    </row>
    <row r="17" spans="1:10">
      <c r="A17" s="176"/>
      <c r="B17" s="101" t="s">
        <v>207</v>
      </c>
      <c r="C17" s="83" t="s">
        <v>38</v>
      </c>
      <c r="D17" s="88" t="s">
        <v>51</v>
      </c>
      <c r="E17" s="83">
        <v>41477</v>
      </c>
      <c r="F17" s="85">
        <v>1.25</v>
      </c>
      <c r="G17" s="86">
        <v>41914</v>
      </c>
      <c r="H17" s="87">
        <v>11.752000000000001</v>
      </c>
      <c r="I17" s="85">
        <v>100</v>
      </c>
      <c r="J17" s="102">
        <f t="shared" si="0"/>
        <v>1175.2</v>
      </c>
    </row>
    <row r="18" spans="1:10">
      <c r="A18" s="176"/>
      <c r="B18" s="101" t="s">
        <v>208</v>
      </c>
      <c r="C18" s="83" t="s">
        <v>38</v>
      </c>
      <c r="D18" s="90" t="s">
        <v>63</v>
      </c>
      <c r="E18" s="83">
        <v>41477</v>
      </c>
      <c r="F18" s="85">
        <v>0.48</v>
      </c>
      <c r="G18" s="91">
        <v>41915</v>
      </c>
      <c r="H18" s="87">
        <v>32.750999999999998</v>
      </c>
      <c r="I18" s="92">
        <v>100</v>
      </c>
      <c r="J18" s="33">
        <f t="shared" si="0"/>
        <v>3275.1</v>
      </c>
    </row>
    <row r="19" spans="1:10">
      <c r="A19" s="176"/>
      <c r="B19" s="101" t="s">
        <v>209</v>
      </c>
      <c r="C19" s="83" t="s">
        <v>38</v>
      </c>
      <c r="D19" s="84" t="s">
        <v>39</v>
      </c>
      <c r="E19" s="83">
        <v>41480</v>
      </c>
      <c r="F19" s="85">
        <v>1.5</v>
      </c>
      <c r="G19" s="86">
        <v>41913</v>
      </c>
      <c r="H19" s="87">
        <v>5.2050000000000001</v>
      </c>
      <c r="I19" s="85">
        <v>100</v>
      </c>
      <c r="J19" s="102">
        <f t="shared" si="0"/>
        <v>520.5</v>
      </c>
    </row>
    <row r="20" spans="1:10">
      <c r="A20" s="176"/>
      <c r="B20" s="101" t="s">
        <v>210</v>
      </c>
      <c r="C20" s="83" t="s">
        <v>38</v>
      </c>
      <c r="D20" s="88" t="s">
        <v>51</v>
      </c>
      <c r="E20" s="83">
        <v>41480</v>
      </c>
      <c r="F20" s="85">
        <v>1.5</v>
      </c>
      <c r="G20" s="86">
        <v>41914</v>
      </c>
      <c r="H20" s="87">
        <v>34.680999999999997</v>
      </c>
      <c r="I20" s="85">
        <v>100</v>
      </c>
      <c r="J20" s="102">
        <f t="shared" si="0"/>
        <v>3468.1</v>
      </c>
    </row>
    <row r="21" spans="1:10">
      <c r="A21" s="176"/>
      <c r="B21" s="101" t="s">
        <v>211</v>
      </c>
      <c r="C21" s="83" t="s">
        <v>38</v>
      </c>
      <c r="D21" s="90" t="s">
        <v>63</v>
      </c>
      <c r="E21" s="83">
        <v>41480</v>
      </c>
      <c r="F21" s="85">
        <v>0.52700000000000002</v>
      </c>
      <c r="G21" s="91">
        <v>41915</v>
      </c>
      <c r="H21" s="87">
        <v>26.509</v>
      </c>
      <c r="I21" s="92">
        <v>100</v>
      </c>
      <c r="J21" s="33">
        <f t="shared" si="0"/>
        <v>2650.9</v>
      </c>
    </row>
    <row r="22" spans="1:10">
      <c r="A22" s="176"/>
      <c r="B22" s="101" t="s">
        <v>212</v>
      </c>
      <c r="C22" s="83" t="s">
        <v>38</v>
      </c>
      <c r="D22" s="84" t="s">
        <v>39</v>
      </c>
      <c r="E22" s="83">
        <v>41484</v>
      </c>
      <c r="F22" s="85">
        <v>1.4</v>
      </c>
      <c r="G22" s="86">
        <v>41913</v>
      </c>
      <c r="H22" s="87">
        <v>6.915</v>
      </c>
      <c r="I22" s="85">
        <v>100</v>
      </c>
      <c r="J22" s="102">
        <f t="shared" si="0"/>
        <v>691.5</v>
      </c>
    </row>
    <row r="23" spans="1:10">
      <c r="A23" s="176"/>
      <c r="B23" s="101" t="s">
        <v>213</v>
      </c>
      <c r="C23" s="83" t="s">
        <v>38</v>
      </c>
      <c r="D23" s="88" t="s">
        <v>51</v>
      </c>
      <c r="E23" s="83">
        <v>41484</v>
      </c>
      <c r="F23" s="85">
        <v>1.4</v>
      </c>
      <c r="G23" s="86">
        <v>41914</v>
      </c>
      <c r="H23" s="87">
        <v>19.164999999999999</v>
      </c>
      <c r="I23" s="85">
        <v>100</v>
      </c>
      <c r="J23" s="102">
        <f t="shared" si="0"/>
        <v>1916.5</v>
      </c>
    </row>
    <row r="24" spans="1:10">
      <c r="A24" s="176"/>
      <c r="B24" s="101" t="s">
        <v>214</v>
      </c>
      <c r="C24" s="83" t="s">
        <v>38</v>
      </c>
      <c r="D24" s="90" t="s">
        <v>63</v>
      </c>
      <c r="E24" s="83">
        <v>41484</v>
      </c>
      <c r="F24" s="85">
        <v>0.4</v>
      </c>
      <c r="G24" s="91">
        <v>41915</v>
      </c>
      <c r="H24" s="87">
        <v>58.484000000000002</v>
      </c>
      <c r="I24" s="92">
        <v>100</v>
      </c>
      <c r="J24" s="33">
        <f t="shared" si="0"/>
        <v>5848.4000000000005</v>
      </c>
    </row>
    <row r="25" spans="1:10">
      <c r="A25" s="176"/>
      <c r="B25" s="101" t="s">
        <v>215</v>
      </c>
      <c r="C25" s="83" t="s">
        <v>38</v>
      </c>
      <c r="D25" s="84" t="s">
        <v>39</v>
      </c>
      <c r="E25" s="83">
        <v>41487</v>
      </c>
      <c r="F25" s="85">
        <v>1</v>
      </c>
      <c r="G25" s="86">
        <v>41913</v>
      </c>
      <c r="H25" s="87">
        <v>10.202999999999999</v>
      </c>
      <c r="I25" s="85">
        <v>100</v>
      </c>
      <c r="J25" s="102">
        <f t="shared" si="0"/>
        <v>1020.3</v>
      </c>
    </row>
    <row r="26" spans="1:10">
      <c r="A26" s="176"/>
      <c r="B26" s="101" t="s">
        <v>216</v>
      </c>
      <c r="C26" s="83" t="s">
        <v>38</v>
      </c>
      <c r="D26" s="88" t="s">
        <v>51</v>
      </c>
      <c r="E26" s="83">
        <v>41487</v>
      </c>
      <c r="F26" s="85">
        <v>1</v>
      </c>
      <c r="G26" s="86">
        <v>41914</v>
      </c>
      <c r="H26" s="87">
        <v>30.541</v>
      </c>
      <c r="I26" s="85">
        <v>100</v>
      </c>
      <c r="J26" s="102">
        <f t="shared" si="0"/>
        <v>3054.1</v>
      </c>
    </row>
    <row r="27" spans="1:10">
      <c r="A27" s="176"/>
      <c r="B27" s="101" t="s">
        <v>217</v>
      </c>
      <c r="C27" s="83" t="s">
        <v>38</v>
      </c>
      <c r="D27" s="90" t="s">
        <v>63</v>
      </c>
      <c r="E27" s="83">
        <v>41487</v>
      </c>
      <c r="F27" s="85">
        <v>0.3</v>
      </c>
      <c r="G27" s="91">
        <v>41915</v>
      </c>
      <c r="H27" s="87">
        <v>44.131999999999998</v>
      </c>
      <c r="I27" s="92">
        <v>100</v>
      </c>
      <c r="J27" s="33">
        <f t="shared" si="0"/>
        <v>4413.2</v>
      </c>
    </row>
    <row r="28" spans="1:10">
      <c r="A28" s="176"/>
      <c r="B28" s="101" t="s">
        <v>218</v>
      </c>
      <c r="C28" s="83" t="s">
        <v>38</v>
      </c>
      <c r="D28" s="84" t="s">
        <v>39</v>
      </c>
      <c r="E28" s="83">
        <v>41491</v>
      </c>
      <c r="F28" s="85">
        <v>1.25</v>
      </c>
      <c r="G28" s="86">
        <v>41913</v>
      </c>
      <c r="H28" s="87">
        <v>4.9489999999999998</v>
      </c>
      <c r="I28" s="85">
        <v>100</v>
      </c>
      <c r="J28" s="102">
        <f t="shared" si="0"/>
        <v>494.9</v>
      </c>
    </row>
    <row r="29" spans="1:10">
      <c r="A29" s="176"/>
      <c r="B29" s="101" t="s">
        <v>219</v>
      </c>
      <c r="C29" s="83" t="s">
        <v>38</v>
      </c>
      <c r="D29" s="88" t="s">
        <v>51</v>
      </c>
      <c r="E29" s="83">
        <v>41491</v>
      </c>
      <c r="F29" s="85">
        <v>1.25</v>
      </c>
      <c r="G29" s="86">
        <v>41914</v>
      </c>
      <c r="H29" s="87">
        <v>28.184999999999999</v>
      </c>
      <c r="I29" s="85">
        <v>100</v>
      </c>
      <c r="J29" s="102">
        <f t="shared" si="0"/>
        <v>2818.5</v>
      </c>
    </row>
    <row r="30" spans="1:10">
      <c r="A30" s="176"/>
      <c r="B30" s="101" t="s">
        <v>220</v>
      </c>
      <c r="C30" s="83" t="s">
        <v>38</v>
      </c>
      <c r="D30" s="90" t="s">
        <v>63</v>
      </c>
      <c r="E30" s="83">
        <v>41491</v>
      </c>
      <c r="F30" s="85">
        <v>0.4</v>
      </c>
      <c r="G30" s="91">
        <v>41915</v>
      </c>
      <c r="H30" s="87">
        <v>72.132999999999996</v>
      </c>
      <c r="I30" s="92">
        <v>100</v>
      </c>
      <c r="J30" s="33">
        <f t="shared" si="0"/>
        <v>7213.2999999999993</v>
      </c>
    </row>
    <row r="31" spans="1:10">
      <c r="A31" s="176"/>
      <c r="B31" s="101" t="s">
        <v>221</v>
      </c>
      <c r="C31" s="83" t="s">
        <v>38</v>
      </c>
      <c r="D31" s="84" t="s">
        <v>39</v>
      </c>
      <c r="E31" s="83">
        <v>41494</v>
      </c>
      <c r="F31" s="85">
        <v>1.25</v>
      </c>
      <c r="G31" s="86">
        <v>41913</v>
      </c>
      <c r="H31" s="87">
        <v>3.4119999999999999</v>
      </c>
      <c r="I31" s="85">
        <v>100</v>
      </c>
      <c r="J31" s="102">
        <f t="shared" si="0"/>
        <v>341.2</v>
      </c>
    </row>
    <row r="32" spans="1:10">
      <c r="A32" s="176"/>
      <c r="B32" s="101" t="s">
        <v>222</v>
      </c>
      <c r="C32" s="83" t="s">
        <v>38</v>
      </c>
      <c r="D32" s="88" t="s">
        <v>51</v>
      </c>
      <c r="E32" s="83">
        <v>41494</v>
      </c>
      <c r="F32" s="85">
        <v>1.25</v>
      </c>
      <c r="G32" s="86">
        <v>41914</v>
      </c>
      <c r="H32" s="87">
        <v>17.648</v>
      </c>
      <c r="I32" s="85">
        <v>100</v>
      </c>
      <c r="J32" s="102">
        <f t="shared" si="0"/>
        <v>1764.8</v>
      </c>
    </row>
    <row r="33" spans="1:10" ht="15.75" thickBot="1">
      <c r="A33" s="177"/>
      <c r="B33" s="106" t="s">
        <v>223</v>
      </c>
      <c r="C33" s="107" t="s">
        <v>38</v>
      </c>
      <c r="D33" s="108" t="s">
        <v>63</v>
      </c>
      <c r="E33" s="107">
        <v>41494</v>
      </c>
      <c r="F33" s="109">
        <v>0.5</v>
      </c>
      <c r="G33" s="110">
        <v>41915</v>
      </c>
      <c r="H33" s="111">
        <v>67.567999999999998</v>
      </c>
      <c r="I33" s="112">
        <v>100</v>
      </c>
      <c r="J33" s="113">
        <f t="shared" si="0"/>
        <v>6756.8</v>
      </c>
    </row>
    <row r="34" spans="1:10">
      <c r="A34" s="176" t="s">
        <v>73</v>
      </c>
      <c r="B34" s="114" t="s">
        <v>224</v>
      </c>
      <c r="C34" s="18" t="s">
        <v>38</v>
      </c>
      <c r="D34" s="19" t="s">
        <v>39</v>
      </c>
      <c r="E34" s="18">
        <v>41789</v>
      </c>
      <c r="F34" s="42">
        <v>1.25</v>
      </c>
      <c r="G34" s="18">
        <v>41920</v>
      </c>
      <c r="H34" s="99">
        <v>2.851</v>
      </c>
      <c r="I34" s="17">
        <v>100</v>
      </c>
      <c r="J34" s="21">
        <f t="shared" ref="J34:J97" si="1">H34*I34</f>
        <v>285.10000000000002</v>
      </c>
    </row>
    <row r="35" spans="1:10">
      <c r="A35" s="176"/>
      <c r="B35" s="115" t="s">
        <v>225</v>
      </c>
      <c r="C35" s="117" t="s">
        <v>38</v>
      </c>
      <c r="D35" s="120" t="s">
        <v>51</v>
      </c>
      <c r="E35" s="117">
        <v>41789</v>
      </c>
      <c r="F35" s="118">
        <v>1.25</v>
      </c>
      <c r="G35" s="117">
        <v>41925</v>
      </c>
      <c r="H35" s="87">
        <v>26.384</v>
      </c>
      <c r="I35" s="119">
        <v>100</v>
      </c>
      <c r="J35" s="27">
        <f t="shared" si="1"/>
        <v>2638.4</v>
      </c>
    </row>
    <row r="36" spans="1:10">
      <c r="A36" s="176"/>
      <c r="B36" s="115" t="s">
        <v>226</v>
      </c>
      <c r="C36" s="117" t="s">
        <v>38</v>
      </c>
      <c r="D36" s="121" t="s">
        <v>63</v>
      </c>
      <c r="E36" s="117">
        <v>41789</v>
      </c>
      <c r="F36" s="118">
        <v>0.45</v>
      </c>
      <c r="G36" s="122">
        <v>41927</v>
      </c>
      <c r="H36" s="87">
        <v>46.347000000000001</v>
      </c>
      <c r="I36" s="123">
        <v>100</v>
      </c>
      <c r="J36" s="33">
        <f t="shared" si="1"/>
        <v>4634.7</v>
      </c>
    </row>
    <row r="37" spans="1:10">
      <c r="A37" s="176"/>
      <c r="B37" s="115" t="s">
        <v>227</v>
      </c>
      <c r="C37" s="117" t="s">
        <v>38</v>
      </c>
      <c r="D37" s="93" t="s">
        <v>39</v>
      </c>
      <c r="E37" s="117">
        <v>41793</v>
      </c>
      <c r="F37" s="118">
        <v>1.75</v>
      </c>
      <c r="G37" s="117">
        <v>41920</v>
      </c>
      <c r="H37" s="87">
        <v>5.585</v>
      </c>
      <c r="I37" s="119">
        <v>100</v>
      </c>
      <c r="J37" s="27">
        <f t="shared" si="1"/>
        <v>558.5</v>
      </c>
    </row>
    <row r="38" spans="1:10">
      <c r="A38" s="176"/>
      <c r="B38" s="115" t="s">
        <v>228</v>
      </c>
      <c r="C38" s="117" t="s">
        <v>38</v>
      </c>
      <c r="D38" s="120" t="s">
        <v>51</v>
      </c>
      <c r="E38" s="117">
        <v>41793</v>
      </c>
      <c r="F38" s="118">
        <v>1.75</v>
      </c>
      <c r="G38" s="117">
        <v>41925</v>
      </c>
      <c r="H38" s="87">
        <v>28.876999999999999</v>
      </c>
      <c r="I38" s="119">
        <v>100</v>
      </c>
      <c r="J38" s="27">
        <f t="shared" si="1"/>
        <v>2887.7</v>
      </c>
    </row>
    <row r="39" spans="1:10">
      <c r="A39" s="176"/>
      <c r="B39" s="115" t="s">
        <v>229</v>
      </c>
      <c r="C39" s="117" t="s">
        <v>38</v>
      </c>
      <c r="D39" s="121" t="s">
        <v>63</v>
      </c>
      <c r="E39" s="117">
        <v>41793</v>
      </c>
      <c r="F39" s="118">
        <v>0.42</v>
      </c>
      <c r="G39" s="122">
        <v>41927</v>
      </c>
      <c r="H39" s="87">
        <v>43.188000000000002</v>
      </c>
      <c r="I39" s="123">
        <v>100</v>
      </c>
      <c r="J39" s="33">
        <f t="shared" si="1"/>
        <v>4318.8</v>
      </c>
    </row>
    <row r="40" spans="1:10">
      <c r="A40" s="176"/>
      <c r="B40" s="115" t="s">
        <v>230</v>
      </c>
      <c r="C40" s="117" t="s">
        <v>38</v>
      </c>
      <c r="D40" s="93" t="s">
        <v>39</v>
      </c>
      <c r="E40" s="117">
        <v>41796</v>
      </c>
      <c r="F40" s="118">
        <v>3.11</v>
      </c>
      <c r="G40" s="117">
        <v>41920</v>
      </c>
      <c r="H40" s="87">
        <v>27.666</v>
      </c>
      <c r="I40" s="119">
        <v>100</v>
      </c>
      <c r="J40" s="27">
        <f t="shared" si="1"/>
        <v>2766.6</v>
      </c>
    </row>
    <row r="41" spans="1:10">
      <c r="A41" s="176"/>
      <c r="B41" s="115" t="s">
        <v>231</v>
      </c>
      <c r="C41" s="117" t="s">
        <v>38</v>
      </c>
      <c r="D41" s="120" t="s">
        <v>51</v>
      </c>
      <c r="E41" s="117">
        <v>41796</v>
      </c>
      <c r="F41" s="118">
        <v>3.11</v>
      </c>
      <c r="G41" s="117">
        <v>41925</v>
      </c>
      <c r="H41" s="87">
        <v>17.954000000000001</v>
      </c>
      <c r="I41" s="119">
        <v>100</v>
      </c>
      <c r="J41" s="27">
        <f t="shared" si="1"/>
        <v>1795.4</v>
      </c>
    </row>
    <row r="42" spans="1:10">
      <c r="A42" s="176"/>
      <c r="B42" s="115" t="s">
        <v>232</v>
      </c>
      <c r="C42" s="117" t="s">
        <v>38</v>
      </c>
      <c r="D42" s="121" t="s">
        <v>63</v>
      </c>
      <c r="E42" s="117">
        <v>41796</v>
      </c>
      <c r="F42" s="118">
        <v>0.25</v>
      </c>
      <c r="G42" s="122">
        <v>41927</v>
      </c>
      <c r="H42" s="87">
        <v>36.51</v>
      </c>
      <c r="I42" s="123">
        <v>100</v>
      </c>
      <c r="J42" s="33">
        <f t="shared" si="1"/>
        <v>3651</v>
      </c>
    </row>
    <row r="43" spans="1:10">
      <c r="A43" s="176"/>
      <c r="B43" s="115" t="s">
        <v>233</v>
      </c>
      <c r="C43" s="117" t="s">
        <v>38</v>
      </c>
      <c r="D43" s="93" t="s">
        <v>39</v>
      </c>
      <c r="E43" s="117">
        <v>41800</v>
      </c>
      <c r="F43" s="118">
        <v>1.75</v>
      </c>
      <c r="G43" s="117">
        <v>41920</v>
      </c>
      <c r="H43" s="87">
        <v>11.093</v>
      </c>
      <c r="I43" s="119">
        <v>100</v>
      </c>
      <c r="J43" s="27">
        <f t="shared" si="1"/>
        <v>1109.3</v>
      </c>
    </row>
    <row r="44" spans="1:10">
      <c r="A44" s="176"/>
      <c r="B44" s="115" t="s">
        <v>234</v>
      </c>
      <c r="C44" s="117" t="s">
        <v>38</v>
      </c>
      <c r="D44" s="120" t="s">
        <v>51</v>
      </c>
      <c r="E44" s="117">
        <v>41800</v>
      </c>
      <c r="F44" s="118">
        <v>1.75</v>
      </c>
      <c r="G44" s="117">
        <v>41925</v>
      </c>
      <c r="H44" s="87">
        <v>25.969000000000001</v>
      </c>
      <c r="I44" s="119">
        <v>100</v>
      </c>
      <c r="J44" s="27">
        <f t="shared" si="1"/>
        <v>2596.9</v>
      </c>
    </row>
    <row r="45" spans="1:10">
      <c r="A45" s="176"/>
      <c r="B45" s="115" t="s">
        <v>235</v>
      </c>
      <c r="C45" s="117" t="s">
        <v>38</v>
      </c>
      <c r="D45" s="121" t="s">
        <v>63</v>
      </c>
      <c r="E45" s="117">
        <v>41800</v>
      </c>
      <c r="F45" s="118">
        <v>0.45</v>
      </c>
      <c r="G45" s="122">
        <v>41927</v>
      </c>
      <c r="H45" s="87">
        <v>46.098999999999997</v>
      </c>
      <c r="I45" s="123">
        <v>100</v>
      </c>
      <c r="J45" s="33">
        <f t="shared" si="1"/>
        <v>4609.8999999999996</v>
      </c>
    </row>
    <row r="46" spans="1:10">
      <c r="A46" s="176"/>
      <c r="B46" s="115" t="s">
        <v>236</v>
      </c>
      <c r="C46" s="117" t="s">
        <v>38</v>
      </c>
      <c r="D46" s="93" t="s">
        <v>39</v>
      </c>
      <c r="E46" s="117">
        <v>41803</v>
      </c>
      <c r="F46" s="118">
        <v>2.75</v>
      </c>
      <c r="G46" s="117">
        <v>41920</v>
      </c>
      <c r="H46" s="87">
        <v>3.0920000000000001</v>
      </c>
      <c r="I46" s="119">
        <v>100</v>
      </c>
      <c r="J46" s="27">
        <f t="shared" si="1"/>
        <v>309.2</v>
      </c>
    </row>
    <row r="47" spans="1:10">
      <c r="A47" s="176"/>
      <c r="B47" s="115" t="s">
        <v>237</v>
      </c>
      <c r="C47" s="117" t="s">
        <v>38</v>
      </c>
      <c r="D47" s="120" t="s">
        <v>51</v>
      </c>
      <c r="E47" s="117">
        <v>41803</v>
      </c>
      <c r="F47" s="118">
        <v>2.75</v>
      </c>
      <c r="G47" s="117">
        <v>41925</v>
      </c>
      <c r="H47" s="87">
        <v>23.675999999999998</v>
      </c>
      <c r="I47" s="119">
        <v>100</v>
      </c>
      <c r="J47" s="27">
        <f t="shared" si="1"/>
        <v>2367.6</v>
      </c>
    </row>
    <row r="48" spans="1:10">
      <c r="A48" s="176"/>
      <c r="B48" s="115" t="s">
        <v>238</v>
      </c>
      <c r="C48" s="117" t="s">
        <v>38</v>
      </c>
      <c r="D48" s="121" t="s">
        <v>63</v>
      </c>
      <c r="E48" s="117">
        <v>41803</v>
      </c>
      <c r="F48" s="118">
        <v>0.5</v>
      </c>
      <c r="G48" s="122">
        <v>41927</v>
      </c>
      <c r="H48" s="87">
        <v>61.322000000000003</v>
      </c>
      <c r="I48" s="123">
        <v>100</v>
      </c>
      <c r="J48" s="33">
        <f t="shared" si="1"/>
        <v>6132.2000000000007</v>
      </c>
    </row>
    <row r="49" spans="1:10">
      <c r="A49" s="176"/>
      <c r="B49" s="115" t="s">
        <v>239</v>
      </c>
      <c r="C49" s="117" t="s">
        <v>38</v>
      </c>
      <c r="D49" s="93" t="s">
        <v>39</v>
      </c>
      <c r="E49" s="117">
        <v>41806</v>
      </c>
      <c r="F49" s="118">
        <v>3.9350000000000001</v>
      </c>
      <c r="G49" s="117">
        <v>41920</v>
      </c>
      <c r="H49" s="87">
        <v>15.061999999999999</v>
      </c>
      <c r="I49" s="119">
        <v>100</v>
      </c>
      <c r="J49" s="27">
        <f t="shared" si="1"/>
        <v>1506.2</v>
      </c>
    </row>
    <row r="50" spans="1:10">
      <c r="A50" s="176"/>
      <c r="B50" s="115" t="s">
        <v>240</v>
      </c>
      <c r="C50" s="117" t="s">
        <v>38</v>
      </c>
      <c r="D50" s="120" t="s">
        <v>51</v>
      </c>
      <c r="E50" s="117">
        <v>41806</v>
      </c>
      <c r="F50" s="118">
        <v>3.9350000000000001</v>
      </c>
      <c r="G50" s="117">
        <v>41925</v>
      </c>
      <c r="H50" s="87">
        <v>28.396000000000001</v>
      </c>
      <c r="I50" s="119">
        <v>100</v>
      </c>
      <c r="J50" s="27">
        <f t="shared" si="1"/>
        <v>2839.6</v>
      </c>
    </row>
    <row r="51" spans="1:10">
      <c r="A51" s="176"/>
      <c r="B51" s="115" t="s">
        <v>241</v>
      </c>
      <c r="C51" s="117" t="s">
        <v>38</v>
      </c>
      <c r="D51" s="121" t="s">
        <v>63</v>
      </c>
      <c r="E51" s="117">
        <v>41806</v>
      </c>
      <c r="F51" s="118">
        <v>0.5</v>
      </c>
      <c r="G51" s="122">
        <v>41927</v>
      </c>
      <c r="H51" s="87">
        <v>59.924999999999997</v>
      </c>
      <c r="I51" s="123">
        <v>100</v>
      </c>
      <c r="J51" s="33">
        <f t="shared" si="1"/>
        <v>5992.5</v>
      </c>
    </row>
    <row r="52" spans="1:10">
      <c r="A52" s="176"/>
      <c r="B52" s="115" t="s">
        <v>242</v>
      </c>
      <c r="C52" s="117" t="s">
        <v>38</v>
      </c>
      <c r="D52" s="93" t="s">
        <v>39</v>
      </c>
      <c r="E52" s="117">
        <v>41810</v>
      </c>
      <c r="F52" s="118">
        <v>1.5</v>
      </c>
      <c r="G52" s="117">
        <v>41921</v>
      </c>
      <c r="H52" s="87">
        <v>13.234</v>
      </c>
      <c r="I52" s="119">
        <v>100</v>
      </c>
      <c r="J52" s="27">
        <f t="shared" si="1"/>
        <v>1323.4</v>
      </c>
    </row>
    <row r="53" spans="1:10">
      <c r="A53" s="176"/>
      <c r="B53" s="115" t="s">
        <v>243</v>
      </c>
      <c r="C53" s="117" t="s">
        <v>38</v>
      </c>
      <c r="D53" s="120" t="s">
        <v>51</v>
      </c>
      <c r="E53" s="117">
        <v>41810</v>
      </c>
      <c r="F53" s="118">
        <v>1.5</v>
      </c>
      <c r="G53" s="117">
        <v>41926</v>
      </c>
      <c r="H53" s="87">
        <v>31.123000000000001</v>
      </c>
      <c r="I53" s="119">
        <v>100</v>
      </c>
      <c r="J53" s="27">
        <f t="shared" si="1"/>
        <v>3112.3</v>
      </c>
    </row>
    <row r="54" spans="1:10">
      <c r="A54" s="176"/>
      <c r="B54" s="115" t="s">
        <v>244</v>
      </c>
      <c r="C54" s="117" t="s">
        <v>38</v>
      </c>
      <c r="D54" s="121" t="s">
        <v>63</v>
      </c>
      <c r="E54" s="117">
        <v>41810</v>
      </c>
      <c r="F54" s="118">
        <v>0.35</v>
      </c>
      <c r="G54" s="122">
        <v>41927</v>
      </c>
      <c r="H54" s="87">
        <v>65.524000000000001</v>
      </c>
      <c r="I54" s="123">
        <v>100</v>
      </c>
      <c r="J54" s="33">
        <f t="shared" si="1"/>
        <v>6552.4</v>
      </c>
    </row>
    <row r="55" spans="1:10">
      <c r="A55" s="176"/>
      <c r="B55" s="115" t="s">
        <v>245</v>
      </c>
      <c r="C55" s="117" t="s">
        <v>38</v>
      </c>
      <c r="D55" s="93" t="s">
        <v>39</v>
      </c>
      <c r="E55" s="117">
        <v>41813</v>
      </c>
      <c r="F55" s="118">
        <v>1.63</v>
      </c>
      <c r="G55" s="117">
        <v>41921</v>
      </c>
      <c r="H55" s="87">
        <v>5.6609999999999996</v>
      </c>
      <c r="I55" s="119">
        <v>100</v>
      </c>
      <c r="J55" s="27">
        <f t="shared" si="1"/>
        <v>566.09999999999991</v>
      </c>
    </row>
    <row r="56" spans="1:10">
      <c r="A56" s="176"/>
      <c r="B56" s="115" t="s">
        <v>246</v>
      </c>
      <c r="C56" s="117" t="s">
        <v>38</v>
      </c>
      <c r="D56" s="120" t="s">
        <v>51</v>
      </c>
      <c r="E56" s="117">
        <v>41813</v>
      </c>
      <c r="F56" s="118">
        <v>1.63</v>
      </c>
      <c r="G56" s="117">
        <v>41926</v>
      </c>
      <c r="H56" s="87">
        <v>38.404000000000003</v>
      </c>
      <c r="I56" s="119">
        <v>100</v>
      </c>
      <c r="J56" s="27">
        <f t="shared" si="1"/>
        <v>3840.4000000000005</v>
      </c>
    </row>
    <row r="57" spans="1:10">
      <c r="A57" s="176"/>
      <c r="B57" s="115" t="s">
        <v>247</v>
      </c>
      <c r="C57" s="117" t="s">
        <v>38</v>
      </c>
      <c r="D57" s="121" t="s">
        <v>63</v>
      </c>
      <c r="E57" s="117">
        <v>41813</v>
      </c>
      <c r="F57" s="118">
        <v>0.4</v>
      </c>
      <c r="G57" s="122">
        <v>41927</v>
      </c>
      <c r="H57" s="87">
        <v>55.433999999999997</v>
      </c>
      <c r="I57" s="123">
        <v>100</v>
      </c>
      <c r="J57" s="33">
        <f t="shared" si="1"/>
        <v>5543.4</v>
      </c>
    </row>
    <row r="58" spans="1:10">
      <c r="A58" s="176"/>
      <c r="B58" s="115" t="s">
        <v>248</v>
      </c>
      <c r="C58" s="117" t="s">
        <v>38</v>
      </c>
      <c r="D58" s="93" t="s">
        <v>39</v>
      </c>
      <c r="E58" s="117">
        <v>41817</v>
      </c>
      <c r="F58" s="118">
        <v>2.5</v>
      </c>
      <c r="G58" s="117">
        <v>41921</v>
      </c>
      <c r="H58" s="87">
        <v>5.43</v>
      </c>
      <c r="I58" s="119">
        <v>100</v>
      </c>
      <c r="J58" s="27">
        <f t="shared" si="1"/>
        <v>543</v>
      </c>
    </row>
    <row r="59" spans="1:10">
      <c r="A59" s="176"/>
      <c r="B59" s="115" t="s">
        <v>249</v>
      </c>
      <c r="C59" s="117" t="s">
        <v>38</v>
      </c>
      <c r="D59" s="120" t="s">
        <v>51</v>
      </c>
      <c r="E59" s="117">
        <v>41817</v>
      </c>
      <c r="F59" s="118">
        <v>2.5</v>
      </c>
      <c r="G59" s="117">
        <v>41926</v>
      </c>
      <c r="H59" s="87">
        <v>43.078000000000003</v>
      </c>
      <c r="I59" s="119">
        <v>100</v>
      </c>
      <c r="J59" s="27">
        <f t="shared" si="1"/>
        <v>4307.8</v>
      </c>
    </row>
    <row r="60" spans="1:10">
      <c r="A60" s="176"/>
      <c r="B60" s="115" t="s">
        <v>250</v>
      </c>
      <c r="C60" s="117" t="s">
        <v>38</v>
      </c>
      <c r="D60" s="121" t="s">
        <v>63</v>
      </c>
      <c r="E60" s="117">
        <v>41817</v>
      </c>
      <c r="F60" s="118">
        <v>0.18</v>
      </c>
      <c r="G60" s="122">
        <v>41927</v>
      </c>
      <c r="H60" s="87">
        <v>58.094000000000001</v>
      </c>
      <c r="I60" s="123">
        <v>100</v>
      </c>
      <c r="J60" s="33">
        <f t="shared" si="1"/>
        <v>5809.4000000000005</v>
      </c>
    </row>
    <row r="61" spans="1:10">
      <c r="A61" s="176"/>
      <c r="B61" s="115" t="s">
        <v>251</v>
      </c>
      <c r="C61" s="117" t="s">
        <v>38</v>
      </c>
      <c r="D61" s="93" t="s">
        <v>39</v>
      </c>
      <c r="E61" s="117">
        <v>41820</v>
      </c>
      <c r="F61" s="118">
        <v>1.6</v>
      </c>
      <c r="G61" s="117">
        <v>41921</v>
      </c>
      <c r="H61" s="87">
        <v>6.4290000000000003</v>
      </c>
      <c r="I61" s="119">
        <v>100</v>
      </c>
      <c r="J61" s="27">
        <f t="shared" si="1"/>
        <v>642.9</v>
      </c>
    </row>
    <row r="62" spans="1:10">
      <c r="A62" s="176"/>
      <c r="B62" s="115" t="s">
        <v>252</v>
      </c>
      <c r="C62" s="117" t="s">
        <v>38</v>
      </c>
      <c r="D62" s="120" t="s">
        <v>51</v>
      </c>
      <c r="E62" s="117">
        <v>41820</v>
      </c>
      <c r="F62" s="118">
        <v>1.6</v>
      </c>
      <c r="G62" s="117">
        <v>41926</v>
      </c>
      <c r="H62" s="87">
        <v>22.472999999999999</v>
      </c>
      <c r="I62" s="119">
        <v>100</v>
      </c>
      <c r="J62" s="27">
        <f t="shared" si="1"/>
        <v>2247.2999999999997</v>
      </c>
    </row>
    <row r="63" spans="1:10">
      <c r="A63" s="176"/>
      <c r="B63" s="115" t="s">
        <v>253</v>
      </c>
      <c r="C63" s="117" t="s">
        <v>38</v>
      </c>
      <c r="D63" s="121" t="s">
        <v>63</v>
      </c>
      <c r="E63" s="117">
        <v>41820</v>
      </c>
      <c r="F63" s="118">
        <v>0.35</v>
      </c>
      <c r="G63" s="122">
        <v>41927</v>
      </c>
      <c r="H63" s="87">
        <v>46.018999999999998</v>
      </c>
      <c r="I63" s="123">
        <v>100</v>
      </c>
      <c r="J63" s="33">
        <f t="shared" si="1"/>
        <v>4601.8999999999996</v>
      </c>
    </row>
    <row r="64" spans="1:10">
      <c r="A64" s="176"/>
      <c r="B64" s="115" t="s">
        <v>254</v>
      </c>
      <c r="C64" s="117" t="s">
        <v>38</v>
      </c>
      <c r="D64" s="93" t="s">
        <v>39</v>
      </c>
      <c r="E64" s="117">
        <v>41831</v>
      </c>
      <c r="F64" s="118">
        <v>1.58</v>
      </c>
      <c r="G64" s="117">
        <v>41921</v>
      </c>
      <c r="H64" s="87">
        <v>5.1660000000000004</v>
      </c>
      <c r="I64" s="119">
        <v>100</v>
      </c>
      <c r="J64" s="27">
        <f t="shared" si="1"/>
        <v>516.6</v>
      </c>
    </row>
    <row r="65" spans="1:10">
      <c r="A65" s="176"/>
      <c r="B65" s="115" t="s">
        <v>255</v>
      </c>
      <c r="C65" s="117" t="s">
        <v>38</v>
      </c>
      <c r="D65" s="120" t="s">
        <v>51</v>
      </c>
      <c r="E65" s="117">
        <v>41831</v>
      </c>
      <c r="F65" s="118">
        <v>1.58</v>
      </c>
      <c r="G65" s="117">
        <v>41926</v>
      </c>
      <c r="H65" s="87">
        <v>31.305</v>
      </c>
      <c r="I65" s="119">
        <v>100</v>
      </c>
      <c r="J65" s="27">
        <f t="shared" si="1"/>
        <v>3130.5</v>
      </c>
    </row>
    <row r="66" spans="1:10">
      <c r="A66" s="176"/>
      <c r="B66" s="115" t="s">
        <v>256</v>
      </c>
      <c r="C66" s="117" t="s">
        <v>38</v>
      </c>
      <c r="D66" s="121" t="s">
        <v>63</v>
      </c>
      <c r="E66" s="117">
        <v>41831</v>
      </c>
      <c r="F66" s="118">
        <v>0.5</v>
      </c>
      <c r="G66" s="122">
        <v>41927</v>
      </c>
      <c r="H66" s="87">
        <v>41.865000000000002</v>
      </c>
      <c r="I66" s="123">
        <v>100</v>
      </c>
      <c r="J66" s="33">
        <f t="shared" si="1"/>
        <v>4186.5</v>
      </c>
    </row>
    <row r="67" spans="1:10">
      <c r="A67" s="176"/>
      <c r="B67" s="115" t="s">
        <v>257</v>
      </c>
      <c r="C67" s="117" t="s">
        <v>38</v>
      </c>
      <c r="D67" s="93" t="s">
        <v>39</v>
      </c>
      <c r="E67" s="117">
        <v>41835</v>
      </c>
      <c r="F67" s="118">
        <v>1.1200000000000001</v>
      </c>
      <c r="G67" s="117">
        <v>41921</v>
      </c>
      <c r="H67" s="87">
        <v>6.0030000000000001</v>
      </c>
      <c r="I67" s="119">
        <v>100</v>
      </c>
      <c r="J67" s="27">
        <f t="shared" si="1"/>
        <v>600.29999999999995</v>
      </c>
    </row>
    <row r="68" spans="1:10">
      <c r="A68" s="176"/>
      <c r="B68" s="115" t="s">
        <v>258</v>
      </c>
      <c r="C68" s="117" t="s">
        <v>38</v>
      </c>
      <c r="D68" s="120" t="s">
        <v>51</v>
      </c>
      <c r="E68" s="117">
        <v>41835</v>
      </c>
      <c r="F68" s="118">
        <v>1.1200000000000001</v>
      </c>
      <c r="G68" s="117">
        <v>41926</v>
      </c>
      <c r="H68" s="87">
        <v>22.091000000000001</v>
      </c>
      <c r="I68" s="119">
        <v>100</v>
      </c>
      <c r="J68" s="27">
        <f t="shared" si="1"/>
        <v>2209.1</v>
      </c>
    </row>
    <row r="69" spans="1:10">
      <c r="A69" s="176"/>
      <c r="B69" s="115" t="s">
        <v>259</v>
      </c>
      <c r="C69" s="117" t="s">
        <v>38</v>
      </c>
      <c r="D69" s="121" t="s">
        <v>63</v>
      </c>
      <c r="E69" s="117">
        <v>41835</v>
      </c>
      <c r="F69" s="118">
        <v>0.25</v>
      </c>
      <c r="G69" s="122">
        <v>41927</v>
      </c>
      <c r="H69" s="87">
        <v>28.692</v>
      </c>
      <c r="I69" s="123">
        <v>100</v>
      </c>
      <c r="J69" s="33">
        <f t="shared" si="1"/>
        <v>2869.2</v>
      </c>
    </row>
    <row r="70" spans="1:10">
      <c r="A70" s="176"/>
      <c r="B70" s="115" t="s">
        <v>260</v>
      </c>
      <c r="C70" s="117" t="s">
        <v>38</v>
      </c>
      <c r="D70" s="93" t="s">
        <v>39</v>
      </c>
      <c r="E70" s="117">
        <v>41838</v>
      </c>
      <c r="F70" s="118">
        <v>1.415</v>
      </c>
      <c r="G70" s="117">
        <v>41921</v>
      </c>
      <c r="H70" s="87">
        <v>4.3419999999999996</v>
      </c>
      <c r="I70" s="119">
        <v>100</v>
      </c>
      <c r="J70" s="27">
        <f t="shared" si="1"/>
        <v>434.2</v>
      </c>
    </row>
    <row r="71" spans="1:10">
      <c r="A71" s="176"/>
      <c r="B71" s="115" t="s">
        <v>261</v>
      </c>
      <c r="C71" s="117" t="s">
        <v>38</v>
      </c>
      <c r="D71" s="120" t="s">
        <v>51</v>
      </c>
      <c r="E71" s="117">
        <v>41838</v>
      </c>
      <c r="F71" s="118">
        <v>1.415</v>
      </c>
      <c r="G71" s="122">
        <v>41926</v>
      </c>
      <c r="H71" s="87">
        <v>19.922999999999998</v>
      </c>
      <c r="I71" s="123">
        <v>100</v>
      </c>
      <c r="J71" s="32">
        <f t="shared" si="1"/>
        <v>1992.2999999999997</v>
      </c>
    </row>
    <row r="72" spans="1:10">
      <c r="A72" s="176"/>
      <c r="B72" s="115" t="s">
        <v>262</v>
      </c>
      <c r="C72" s="117" t="s">
        <v>38</v>
      </c>
      <c r="D72" s="121" t="s">
        <v>63</v>
      </c>
      <c r="E72" s="117">
        <v>41838</v>
      </c>
      <c r="F72" s="118">
        <v>0.4</v>
      </c>
      <c r="G72" s="122">
        <v>41928</v>
      </c>
      <c r="H72" s="87">
        <v>43.472999999999999</v>
      </c>
      <c r="I72" s="123">
        <v>100</v>
      </c>
      <c r="J72" s="33">
        <f t="shared" si="1"/>
        <v>4347.3</v>
      </c>
    </row>
    <row r="73" spans="1:10">
      <c r="A73" s="176"/>
      <c r="B73" s="115" t="s">
        <v>263</v>
      </c>
      <c r="C73" s="117" t="s">
        <v>38</v>
      </c>
      <c r="D73" s="93" t="s">
        <v>39</v>
      </c>
      <c r="E73" s="117">
        <v>41841</v>
      </c>
      <c r="F73" s="118">
        <v>1.9</v>
      </c>
      <c r="G73" s="117">
        <v>41921</v>
      </c>
      <c r="H73" s="87">
        <v>5.6589999999999998</v>
      </c>
      <c r="I73" s="119">
        <v>100</v>
      </c>
      <c r="J73" s="27">
        <f t="shared" si="1"/>
        <v>565.9</v>
      </c>
    </row>
    <row r="74" spans="1:10">
      <c r="A74" s="176"/>
      <c r="B74" s="115" t="s">
        <v>264</v>
      </c>
      <c r="C74" s="117" t="s">
        <v>38</v>
      </c>
      <c r="D74" s="120" t="s">
        <v>51</v>
      </c>
      <c r="E74" s="117">
        <v>41841</v>
      </c>
      <c r="F74" s="118">
        <v>1.9</v>
      </c>
      <c r="G74" s="122">
        <v>41926</v>
      </c>
      <c r="H74" s="87">
        <v>36.225000000000001</v>
      </c>
      <c r="I74" s="123">
        <v>100</v>
      </c>
      <c r="J74" s="32">
        <f t="shared" si="1"/>
        <v>3622.5</v>
      </c>
    </row>
    <row r="75" spans="1:10">
      <c r="A75" s="176"/>
      <c r="B75" s="115" t="s">
        <v>265</v>
      </c>
      <c r="C75" s="117" t="s">
        <v>38</v>
      </c>
      <c r="D75" s="121" t="s">
        <v>63</v>
      </c>
      <c r="E75" s="117">
        <v>41841</v>
      </c>
      <c r="F75" s="118">
        <v>0.25</v>
      </c>
      <c r="G75" s="122">
        <v>41928</v>
      </c>
      <c r="H75" s="87">
        <v>55.801000000000002</v>
      </c>
      <c r="I75" s="123">
        <v>100</v>
      </c>
      <c r="J75" s="33">
        <f t="shared" si="1"/>
        <v>5580.1</v>
      </c>
    </row>
    <row r="76" spans="1:10">
      <c r="A76" s="176"/>
      <c r="B76" s="115" t="s">
        <v>266</v>
      </c>
      <c r="C76" s="117" t="s">
        <v>38</v>
      </c>
      <c r="D76" s="93" t="s">
        <v>39</v>
      </c>
      <c r="E76" s="117">
        <v>41845</v>
      </c>
      <c r="F76" s="118">
        <v>1.25</v>
      </c>
      <c r="G76" s="117">
        <v>41921</v>
      </c>
      <c r="H76" s="87">
        <v>7.617</v>
      </c>
      <c r="I76" s="119">
        <v>100</v>
      </c>
      <c r="J76" s="27">
        <f t="shared" si="1"/>
        <v>761.7</v>
      </c>
    </row>
    <row r="77" spans="1:10">
      <c r="A77" s="176"/>
      <c r="B77" s="115" t="s">
        <v>267</v>
      </c>
      <c r="C77" s="117" t="s">
        <v>38</v>
      </c>
      <c r="D77" s="120" t="s">
        <v>51</v>
      </c>
      <c r="E77" s="117">
        <v>41845</v>
      </c>
      <c r="F77" s="118">
        <v>1.25</v>
      </c>
      <c r="G77" s="122">
        <v>41926</v>
      </c>
      <c r="H77" s="87">
        <v>25.920999999999999</v>
      </c>
      <c r="I77" s="123">
        <v>100</v>
      </c>
      <c r="J77" s="33">
        <f t="shared" si="1"/>
        <v>2592.1</v>
      </c>
    </row>
    <row r="78" spans="1:10">
      <c r="A78" s="176"/>
      <c r="B78" s="115" t="s">
        <v>268</v>
      </c>
      <c r="C78" s="117" t="s">
        <v>38</v>
      </c>
      <c r="D78" s="121" t="s">
        <v>63</v>
      </c>
      <c r="E78" s="117">
        <v>41845</v>
      </c>
      <c r="F78" s="118">
        <v>0.4</v>
      </c>
      <c r="G78" s="122">
        <v>41928</v>
      </c>
      <c r="H78" s="87">
        <v>26.995000000000001</v>
      </c>
      <c r="I78" s="123">
        <v>100</v>
      </c>
      <c r="J78" s="33">
        <f t="shared" si="1"/>
        <v>2699.5</v>
      </c>
    </row>
    <row r="79" spans="1:10">
      <c r="A79" s="176"/>
      <c r="B79" s="115" t="s">
        <v>269</v>
      </c>
      <c r="C79" s="117" t="s">
        <v>38</v>
      </c>
      <c r="D79" s="93" t="s">
        <v>39</v>
      </c>
      <c r="E79" s="117">
        <v>41848</v>
      </c>
      <c r="F79" s="118">
        <v>1.55</v>
      </c>
      <c r="G79" s="117">
        <v>41921</v>
      </c>
      <c r="H79" s="87">
        <v>5.0869999999999997</v>
      </c>
      <c r="I79" s="119">
        <v>100</v>
      </c>
      <c r="J79" s="27">
        <f t="shared" si="1"/>
        <v>508.7</v>
      </c>
    </row>
    <row r="80" spans="1:10">
      <c r="A80" s="176"/>
      <c r="B80" s="115" t="s">
        <v>270</v>
      </c>
      <c r="C80" s="117" t="s">
        <v>38</v>
      </c>
      <c r="D80" s="120" t="s">
        <v>51</v>
      </c>
      <c r="E80" s="117">
        <v>41848</v>
      </c>
      <c r="F80" s="118">
        <v>1.55</v>
      </c>
      <c r="G80" s="122">
        <v>41926</v>
      </c>
      <c r="H80" s="87">
        <v>27.363</v>
      </c>
      <c r="I80" s="123">
        <v>100</v>
      </c>
      <c r="J80" s="33">
        <f t="shared" si="1"/>
        <v>2736.3</v>
      </c>
    </row>
    <row r="81" spans="1:10">
      <c r="A81" s="176"/>
      <c r="B81" s="115" t="s">
        <v>271</v>
      </c>
      <c r="C81" s="117" t="s">
        <v>38</v>
      </c>
      <c r="D81" s="121" t="s">
        <v>63</v>
      </c>
      <c r="E81" s="117">
        <v>41848</v>
      </c>
      <c r="F81" s="118">
        <v>0.35</v>
      </c>
      <c r="G81" s="122">
        <v>41928</v>
      </c>
      <c r="H81" s="87">
        <v>29.581</v>
      </c>
      <c r="I81" s="123">
        <v>100</v>
      </c>
      <c r="J81" s="33">
        <f t="shared" si="1"/>
        <v>2958.1</v>
      </c>
    </row>
    <row r="82" spans="1:10">
      <c r="A82" s="176"/>
      <c r="B82" s="115" t="s">
        <v>272</v>
      </c>
      <c r="C82" s="117" t="s">
        <v>38</v>
      </c>
      <c r="D82" s="93" t="s">
        <v>39</v>
      </c>
      <c r="E82" s="117">
        <v>41852</v>
      </c>
      <c r="F82" s="118">
        <v>1.125</v>
      </c>
      <c r="G82" s="117">
        <v>41921</v>
      </c>
      <c r="H82" s="87">
        <v>4.8810000000000002</v>
      </c>
      <c r="I82" s="119">
        <v>100</v>
      </c>
      <c r="J82" s="27">
        <f t="shared" si="1"/>
        <v>488.1</v>
      </c>
    </row>
    <row r="83" spans="1:10">
      <c r="A83" s="176"/>
      <c r="B83" s="115" t="s">
        <v>273</v>
      </c>
      <c r="C83" s="117" t="s">
        <v>38</v>
      </c>
      <c r="D83" s="120" t="s">
        <v>51</v>
      </c>
      <c r="E83" s="117">
        <v>41852</v>
      </c>
      <c r="F83" s="118">
        <v>1.125</v>
      </c>
      <c r="G83" s="122">
        <v>41926</v>
      </c>
      <c r="H83" s="87">
        <v>20.774000000000001</v>
      </c>
      <c r="I83" s="123">
        <v>100</v>
      </c>
      <c r="J83" s="33">
        <f t="shared" si="1"/>
        <v>2077.4</v>
      </c>
    </row>
    <row r="84" spans="1:10">
      <c r="A84" s="176"/>
      <c r="B84" s="115" t="s">
        <v>274</v>
      </c>
      <c r="C84" s="117" t="s">
        <v>38</v>
      </c>
      <c r="D84" s="121" t="s">
        <v>63</v>
      </c>
      <c r="E84" s="117">
        <v>41852</v>
      </c>
      <c r="F84" s="118">
        <v>0.25</v>
      </c>
      <c r="G84" s="122">
        <v>41928</v>
      </c>
      <c r="H84" s="87">
        <v>36.627000000000002</v>
      </c>
      <c r="I84" s="123">
        <v>100</v>
      </c>
      <c r="J84" s="33">
        <f t="shared" si="1"/>
        <v>3662.7000000000003</v>
      </c>
    </row>
    <row r="85" spans="1:10">
      <c r="A85" s="176"/>
      <c r="B85" s="115" t="s">
        <v>275</v>
      </c>
      <c r="C85" s="117" t="s">
        <v>38</v>
      </c>
      <c r="D85" s="93" t="s">
        <v>39</v>
      </c>
      <c r="E85" s="117">
        <v>41855</v>
      </c>
      <c r="F85" s="118">
        <v>1.25</v>
      </c>
      <c r="G85" s="117">
        <v>41922</v>
      </c>
      <c r="H85" s="87">
        <v>8.8309999999999995</v>
      </c>
      <c r="I85" s="119">
        <v>100</v>
      </c>
      <c r="J85" s="27">
        <f t="shared" si="1"/>
        <v>883.09999999999991</v>
      </c>
    </row>
    <row r="86" spans="1:10">
      <c r="A86" s="176"/>
      <c r="B86" s="115" t="s">
        <v>276</v>
      </c>
      <c r="C86" s="117" t="s">
        <v>38</v>
      </c>
      <c r="D86" s="120" t="s">
        <v>51</v>
      </c>
      <c r="E86" s="117">
        <v>41855</v>
      </c>
      <c r="F86" s="118">
        <v>1.25</v>
      </c>
      <c r="G86" s="122">
        <v>41926</v>
      </c>
      <c r="H86" s="87">
        <v>21.477</v>
      </c>
      <c r="I86" s="123">
        <v>100</v>
      </c>
      <c r="J86" s="33">
        <f t="shared" si="1"/>
        <v>2147.6999999999998</v>
      </c>
    </row>
    <row r="87" spans="1:10">
      <c r="A87" s="176"/>
      <c r="B87" s="115" t="s">
        <v>277</v>
      </c>
      <c r="C87" s="117" t="s">
        <v>38</v>
      </c>
      <c r="D87" s="121" t="s">
        <v>63</v>
      </c>
      <c r="E87" s="117">
        <v>41855</v>
      </c>
      <c r="F87" s="118">
        <v>0.25</v>
      </c>
      <c r="G87" s="122">
        <v>41928</v>
      </c>
      <c r="H87" s="87">
        <v>38.578000000000003</v>
      </c>
      <c r="I87" s="123">
        <v>100</v>
      </c>
      <c r="J87" s="33">
        <f t="shared" si="1"/>
        <v>3857.8</v>
      </c>
    </row>
    <row r="88" spans="1:10">
      <c r="A88" s="176"/>
      <c r="B88" s="115" t="s">
        <v>278</v>
      </c>
      <c r="C88" s="117" t="s">
        <v>38</v>
      </c>
      <c r="D88" s="93" t="s">
        <v>39</v>
      </c>
      <c r="E88" s="117">
        <v>41859</v>
      </c>
      <c r="F88" s="118">
        <v>2.4</v>
      </c>
      <c r="G88" s="117">
        <v>41922</v>
      </c>
      <c r="H88" s="87">
        <v>5.6390000000000002</v>
      </c>
      <c r="I88" s="119">
        <v>100</v>
      </c>
      <c r="J88" s="27">
        <f t="shared" si="1"/>
        <v>563.9</v>
      </c>
    </row>
    <row r="89" spans="1:10">
      <c r="A89" s="176"/>
      <c r="B89" s="115" t="s">
        <v>279</v>
      </c>
      <c r="C89" s="117" t="s">
        <v>38</v>
      </c>
      <c r="D89" s="120" t="s">
        <v>51</v>
      </c>
      <c r="E89" s="117">
        <v>41859</v>
      </c>
      <c r="F89" s="118">
        <v>2.4</v>
      </c>
      <c r="G89" s="122">
        <v>41927</v>
      </c>
      <c r="H89" s="87">
        <v>24.673999999999999</v>
      </c>
      <c r="I89" s="123">
        <v>100</v>
      </c>
      <c r="J89" s="33">
        <f t="shared" si="1"/>
        <v>2467.4</v>
      </c>
    </row>
    <row r="90" spans="1:10">
      <c r="A90" s="176"/>
      <c r="B90" s="115" t="s">
        <v>280</v>
      </c>
      <c r="C90" s="117" t="s">
        <v>38</v>
      </c>
      <c r="D90" s="121" t="s">
        <v>63</v>
      </c>
      <c r="E90" s="117">
        <v>41859</v>
      </c>
      <c r="F90" s="118">
        <v>0.25</v>
      </c>
      <c r="G90" s="122">
        <v>41928</v>
      </c>
      <c r="H90" s="87">
        <v>42.92</v>
      </c>
      <c r="I90" s="123">
        <v>100</v>
      </c>
      <c r="J90" s="33">
        <f t="shared" si="1"/>
        <v>4292</v>
      </c>
    </row>
    <row r="91" spans="1:10">
      <c r="A91" s="176"/>
      <c r="B91" s="115" t="s">
        <v>281</v>
      </c>
      <c r="C91" s="117" t="s">
        <v>38</v>
      </c>
      <c r="D91" s="93" t="s">
        <v>39</v>
      </c>
      <c r="E91" s="117">
        <v>41862</v>
      </c>
      <c r="F91" s="118">
        <v>1.75</v>
      </c>
      <c r="G91" s="117">
        <v>41922</v>
      </c>
      <c r="H91" s="87">
        <v>6.3529999999999998</v>
      </c>
      <c r="I91" s="119">
        <v>100</v>
      </c>
      <c r="J91" s="27">
        <f t="shared" si="1"/>
        <v>635.29999999999995</v>
      </c>
    </row>
    <row r="92" spans="1:10">
      <c r="A92" s="176"/>
      <c r="B92" s="115" t="s">
        <v>282</v>
      </c>
      <c r="C92" s="117" t="s">
        <v>38</v>
      </c>
      <c r="D92" s="120" t="s">
        <v>51</v>
      </c>
      <c r="E92" s="117">
        <v>41862</v>
      </c>
      <c r="F92" s="118">
        <v>1.75</v>
      </c>
      <c r="G92" s="122">
        <v>41927</v>
      </c>
      <c r="H92" s="87">
        <v>23.664000000000001</v>
      </c>
      <c r="I92" s="123">
        <v>100</v>
      </c>
      <c r="J92" s="33">
        <f t="shared" si="1"/>
        <v>2366.4</v>
      </c>
    </row>
    <row r="93" spans="1:10">
      <c r="A93" s="176"/>
      <c r="B93" s="115" t="s">
        <v>283</v>
      </c>
      <c r="C93" s="117" t="s">
        <v>38</v>
      </c>
      <c r="D93" s="121" t="s">
        <v>63</v>
      </c>
      <c r="E93" s="117">
        <v>41862</v>
      </c>
      <c r="F93" s="118">
        <v>0.25</v>
      </c>
      <c r="G93" s="122">
        <v>41928</v>
      </c>
      <c r="H93" s="87">
        <v>15.961</v>
      </c>
      <c r="I93" s="123">
        <v>100</v>
      </c>
      <c r="J93" s="33">
        <f t="shared" si="1"/>
        <v>1596.1000000000001</v>
      </c>
    </row>
    <row r="94" spans="1:10">
      <c r="A94" s="176"/>
      <c r="B94" s="115" t="s">
        <v>284</v>
      </c>
      <c r="C94" s="117" t="s">
        <v>38</v>
      </c>
      <c r="D94" s="93" t="s">
        <v>39</v>
      </c>
      <c r="E94" s="117">
        <v>41865</v>
      </c>
      <c r="F94" s="118">
        <v>2.15</v>
      </c>
      <c r="G94" s="117">
        <v>41922</v>
      </c>
      <c r="H94" s="87">
        <v>5.5940000000000003</v>
      </c>
      <c r="I94" s="119">
        <v>100</v>
      </c>
      <c r="J94" s="27">
        <f t="shared" si="1"/>
        <v>559.4</v>
      </c>
    </row>
    <row r="95" spans="1:10">
      <c r="A95" s="176"/>
      <c r="B95" s="115" t="s">
        <v>285</v>
      </c>
      <c r="C95" s="117" t="s">
        <v>38</v>
      </c>
      <c r="D95" s="120" t="s">
        <v>51</v>
      </c>
      <c r="E95" s="117">
        <v>41865</v>
      </c>
      <c r="F95" s="118">
        <v>2.15</v>
      </c>
      <c r="G95" s="122">
        <v>41927</v>
      </c>
      <c r="H95" s="87">
        <v>29.253</v>
      </c>
      <c r="I95" s="123">
        <v>100</v>
      </c>
      <c r="J95" s="33">
        <f t="shared" si="1"/>
        <v>2925.3</v>
      </c>
    </row>
    <row r="96" spans="1:10">
      <c r="A96" s="176"/>
      <c r="B96" s="115" t="s">
        <v>286</v>
      </c>
      <c r="C96" s="117" t="s">
        <v>38</v>
      </c>
      <c r="D96" s="121" t="s">
        <v>63</v>
      </c>
      <c r="E96" s="117">
        <v>41865</v>
      </c>
      <c r="F96" s="118">
        <v>0.25</v>
      </c>
      <c r="G96" s="122">
        <v>41928</v>
      </c>
      <c r="H96" s="87">
        <v>28.295000000000002</v>
      </c>
      <c r="I96" s="123">
        <v>100</v>
      </c>
      <c r="J96" s="33">
        <f t="shared" si="1"/>
        <v>2829.5</v>
      </c>
    </row>
    <row r="97" spans="1:10">
      <c r="A97" s="176"/>
      <c r="B97" s="115" t="s">
        <v>287</v>
      </c>
      <c r="C97" s="117" t="s">
        <v>38</v>
      </c>
      <c r="D97" s="93" t="s">
        <v>39</v>
      </c>
      <c r="E97" s="117">
        <v>41869</v>
      </c>
      <c r="F97" s="118">
        <v>2.65</v>
      </c>
      <c r="G97" s="117">
        <v>41922</v>
      </c>
      <c r="H97" s="87">
        <v>8.4280000000000008</v>
      </c>
      <c r="I97" s="119">
        <v>100</v>
      </c>
      <c r="J97" s="27">
        <f t="shared" si="1"/>
        <v>842.80000000000007</v>
      </c>
    </row>
    <row r="98" spans="1:10">
      <c r="A98" s="176"/>
      <c r="B98" s="115" t="s">
        <v>288</v>
      </c>
      <c r="C98" s="117" t="s">
        <v>38</v>
      </c>
      <c r="D98" s="120" t="s">
        <v>51</v>
      </c>
      <c r="E98" s="117">
        <v>41869</v>
      </c>
      <c r="F98" s="118">
        <v>2.65</v>
      </c>
      <c r="G98" s="122">
        <v>41927</v>
      </c>
      <c r="H98" s="87">
        <v>31.747</v>
      </c>
      <c r="I98" s="123">
        <v>100</v>
      </c>
      <c r="J98" s="33">
        <f t="shared" ref="J98:J99" si="2">H98*I98</f>
        <v>3174.7</v>
      </c>
    </row>
    <row r="99" spans="1:10" ht="15.75" thickBot="1">
      <c r="A99" s="176"/>
      <c r="B99" s="116" t="s">
        <v>289</v>
      </c>
      <c r="C99" s="75" t="s">
        <v>38</v>
      </c>
      <c r="D99" s="124" t="s">
        <v>63</v>
      </c>
      <c r="E99" s="75">
        <v>41869</v>
      </c>
      <c r="F99" s="125">
        <v>0.25</v>
      </c>
      <c r="G99" s="126">
        <v>41928</v>
      </c>
      <c r="H99" s="103">
        <v>33.305</v>
      </c>
      <c r="I99" s="127">
        <v>100</v>
      </c>
      <c r="J99" s="105">
        <f t="shared" si="2"/>
        <v>3330.5</v>
      </c>
    </row>
    <row r="100" spans="1:10" s="142" customFormat="1">
      <c r="A100" s="175" t="s">
        <v>140</v>
      </c>
      <c r="B100" s="161" t="s">
        <v>290</v>
      </c>
      <c r="C100" s="18" t="s">
        <v>38</v>
      </c>
      <c r="D100" s="51" t="s">
        <v>142</v>
      </c>
      <c r="E100" s="136">
        <v>42170</v>
      </c>
      <c r="F100" s="137">
        <f>(1.75+3)/2</f>
        <v>2.375</v>
      </c>
      <c r="G100" s="54">
        <v>42290</v>
      </c>
      <c r="H100" s="55">
        <v>8.51</v>
      </c>
      <c r="I100" s="53">
        <v>100</v>
      </c>
      <c r="J100" s="56">
        <f t="shared" ref="J100:J147" si="3">H100*I100</f>
        <v>851</v>
      </c>
    </row>
    <row r="101" spans="1:10" s="142" customFormat="1">
      <c r="A101" s="176"/>
      <c r="B101" s="162" t="s">
        <v>291</v>
      </c>
      <c r="C101" s="117" t="s">
        <v>38</v>
      </c>
      <c r="D101" s="138" t="s">
        <v>144</v>
      </c>
      <c r="E101" s="129">
        <v>42170</v>
      </c>
      <c r="F101" s="92">
        <f>(1.75+3)/2</f>
        <v>2.375</v>
      </c>
      <c r="G101" s="130">
        <v>42290</v>
      </c>
      <c r="H101" s="139">
        <v>9.3000000000000007</v>
      </c>
      <c r="I101" s="128">
        <v>100</v>
      </c>
      <c r="J101" s="143">
        <f t="shared" si="3"/>
        <v>930.00000000000011</v>
      </c>
    </row>
    <row r="102" spans="1:10" s="142" customFormat="1">
      <c r="A102" s="176"/>
      <c r="B102" s="162" t="s">
        <v>292</v>
      </c>
      <c r="C102" s="117" t="s">
        <v>38</v>
      </c>
      <c r="D102" s="140" t="s">
        <v>146</v>
      </c>
      <c r="E102" s="129">
        <v>42170</v>
      </c>
      <c r="F102" s="92">
        <v>0.5</v>
      </c>
      <c r="G102" s="130">
        <v>42291</v>
      </c>
      <c r="H102" s="139">
        <v>4.68</v>
      </c>
      <c r="I102" s="128">
        <v>100</v>
      </c>
      <c r="J102" s="143">
        <f t="shared" si="3"/>
        <v>468</v>
      </c>
    </row>
    <row r="103" spans="1:10" s="142" customFormat="1">
      <c r="A103" s="176"/>
      <c r="B103" s="162" t="s">
        <v>293</v>
      </c>
      <c r="C103" s="117" t="s">
        <v>38</v>
      </c>
      <c r="D103" s="133" t="s">
        <v>142</v>
      </c>
      <c r="E103" s="129">
        <v>42174</v>
      </c>
      <c r="F103" s="92">
        <v>2.5</v>
      </c>
      <c r="G103" s="130">
        <v>42290</v>
      </c>
      <c r="H103" s="131">
        <v>3.21</v>
      </c>
      <c r="I103" s="128">
        <v>100</v>
      </c>
      <c r="J103" s="143">
        <f t="shared" si="3"/>
        <v>321</v>
      </c>
    </row>
    <row r="104" spans="1:10" s="142" customFormat="1">
      <c r="A104" s="176"/>
      <c r="B104" s="162" t="s">
        <v>294</v>
      </c>
      <c r="C104" s="117" t="s">
        <v>38</v>
      </c>
      <c r="D104" s="138" t="s">
        <v>144</v>
      </c>
      <c r="E104" s="129">
        <v>42174</v>
      </c>
      <c r="F104" s="92">
        <v>2.5</v>
      </c>
      <c r="G104" s="130">
        <v>42290</v>
      </c>
      <c r="H104" s="132">
        <v>19.13</v>
      </c>
      <c r="I104" s="128">
        <v>100</v>
      </c>
      <c r="J104" s="143">
        <f t="shared" si="3"/>
        <v>1913</v>
      </c>
    </row>
    <row r="105" spans="1:10" s="142" customFormat="1">
      <c r="A105" s="176"/>
      <c r="B105" s="162" t="s">
        <v>295</v>
      </c>
      <c r="C105" s="117" t="s">
        <v>38</v>
      </c>
      <c r="D105" s="140" t="s">
        <v>146</v>
      </c>
      <c r="E105" s="129">
        <v>42174</v>
      </c>
      <c r="F105" s="92">
        <v>0.56000000000000005</v>
      </c>
      <c r="G105" s="130">
        <v>42291</v>
      </c>
      <c r="H105" s="132">
        <v>23.32</v>
      </c>
      <c r="I105" s="128">
        <v>100</v>
      </c>
      <c r="J105" s="143">
        <f t="shared" si="3"/>
        <v>2332</v>
      </c>
    </row>
    <row r="106" spans="1:10" s="142" customFormat="1">
      <c r="A106" s="176"/>
      <c r="B106" s="162" t="s">
        <v>296</v>
      </c>
      <c r="C106" s="117" t="s">
        <v>38</v>
      </c>
      <c r="D106" s="133" t="s">
        <v>142</v>
      </c>
      <c r="E106" s="129">
        <v>42177</v>
      </c>
      <c r="F106" s="92">
        <f>3.25/2</f>
        <v>1.625</v>
      </c>
      <c r="G106" s="130">
        <v>42290</v>
      </c>
      <c r="H106" s="132">
        <v>3.15</v>
      </c>
      <c r="I106" s="128">
        <v>100</v>
      </c>
      <c r="J106" s="143">
        <f t="shared" si="3"/>
        <v>315</v>
      </c>
    </row>
    <row r="107" spans="1:10" s="142" customFormat="1">
      <c r="A107" s="176"/>
      <c r="B107" s="162" t="s">
        <v>297</v>
      </c>
      <c r="C107" s="117" t="s">
        <v>38</v>
      </c>
      <c r="D107" s="138" t="s">
        <v>144</v>
      </c>
      <c r="E107" s="129">
        <v>42177</v>
      </c>
      <c r="F107" s="92">
        <f>3.25/2</f>
        <v>1.625</v>
      </c>
      <c r="G107" s="130">
        <v>42290</v>
      </c>
      <c r="H107" s="132">
        <v>17.66</v>
      </c>
      <c r="I107" s="128">
        <v>100</v>
      </c>
      <c r="J107" s="143">
        <f t="shared" si="3"/>
        <v>1766</v>
      </c>
    </row>
    <row r="108" spans="1:10" s="142" customFormat="1">
      <c r="A108" s="176"/>
      <c r="B108" s="162" t="s">
        <v>298</v>
      </c>
      <c r="C108" s="117" t="s">
        <v>38</v>
      </c>
      <c r="D108" s="140" t="s">
        <v>146</v>
      </c>
      <c r="E108" s="129">
        <v>42177</v>
      </c>
      <c r="F108" s="92">
        <v>0.2</v>
      </c>
      <c r="G108" s="130">
        <v>42291</v>
      </c>
      <c r="H108" s="132">
        <v>17.079999999999998</v>
      </c>
      <c r="I108" s="128">
        <v>100</v>
      </c>
      <c r="J108" s="143">
        <f t="shared" si="3"/>
        <v>1707.9999999999998</v>
      </c>
    </row>
    <row r="109" spans="1:10" s="142" customFormat="1">
      <c r="A109" s="176"/>
      <c r="B109" s="162" t="s">
        <v>299</v>
      </c>
      <c r="C109" s="117" t="s">
        <v>38</v>
      </c>
      <c r="D109" s="133" t="s">
        <v>142</v>
      </c>
      <c r="E109" s="129">
        <v>42181</v>
      </c>
      <c r="F109" s="92">
        <v>2</v>
      </c>
      <c r="G109" s="130">
        <v>42290</v>
      </c>
      <c r="H109" s="132">
        <v>9.19</v>
      </c>
      <c r="I109" s="128">
        <v>100</v>
      </c>
      <c r="J109" s="143">
        <f t="shared" si="3"/>
        <v>919</v>
      </c>
    </row>
    <row r="110" spans="1:10" s="142" customFormat="1">
      <c r="A110" s="176"/>
      <c r="B110" s="162" t="s">
        <v>300</v>
      </c>
      <c r="C110" s="117" t="s">
        <v>38</v>
      </c>
      <c r="D110" s="138" t="s">
        <v>144</v>
      </c>
      <c r="E110" s="129">
        <v>42181</v>
      </c>
      <c r="F110" s="92">
        <v>2</v>
      </c>
      <c r="G110" s="130">
        <v>42290</v>
      </c>
      <c r="H110" s="132">
        <v>5.57</v>
      </c>
      <c r="I110" s="128">
        <v>100</v>
      </c>
      <c r="J110" s="143">
        <f t="shared" si="3"/>
        <v>557</v>
      </c>
    </row>
    <row r="111" spans="1:10" s="142" customFormat="1">
      <c r="A111" s="176"/>
      <c r="B111" s="162" t="s">
        <v>301</v>
      </c>
      <c r="C111" s="117" t="s">
        <v>38</v>
      </c>
      <c r="D111" s="140" t="s">
        <v>146</v>
      </c>
      <c r="E111" s="129">
        <v>42181</v>
      </c>
      <c r="F111" s="92">
        <v>0.45</v>
      </c>
      <c r="G111" s="130">
        <v>42291</v>
      </c>
      <c r="H111" s="132">
        <v>39.96</v>
      </c>
      <c r="I111" s="128">
        <v>100</v>
      </c>
      <c r="J111" s="143">
        <f t="shared" si="3"/>
        <v>3996</v>
      </c>
    </row>
    <row r="112" spans="1:10" s="142" customFormat="1">
      <c r="A112" s="176"/>
      <c r="B112" s="162" t="s">
        <v>302</v>
      </c>
      <c r="C112" s="117" t="s">
        <v>38</v>
      </c>
      <c r="D112" s="133" t="s">
        <v>142</v>
      </c>
      <c r="E112" s="129">
        <v>42184</v>
      </c>
      <c r="F112" s="92">
        <f>3.4/2</f>
        <v>1.7</v>
      </c>
      <c r="G112" s="130">
        <v>42290</v>
      </c>
      <c r="H112" s="132">
        <v>3.72</v>
      </c>
      <c r="I112" s="128">
        <v>100</v>
      </c>
      <c r="J112" s="143">
        <f t="shared" si="3"/>
        <v>372</v>
      </c>
    </row>
    <row r="113" spans="1:10" s="142" customFormat="1">
      <c r="A113" s="176"/>
      <c r="B113" s="162" t="s">
        <v>303</v>
      </c>
      <c r="C113" s="117" t="s">
        <v>38</v>
      </c>
      <c r="D113" s="138" t="s">
        <v>144</v>
      </c>
      <c r="E113" s="129">
        <v>42184</v>
      </c>
      <c r="F113" s="92">
        <f>3.4/2</f>
        <v>1.7</v>
      </c>
      <c r="G113" s="130">
        <v>42290</v>
      </c>
      <c r="H113" s="132">
        <v>11.94</v>
      </c>
      <c r="I113" s="128">
        <v>100</v>
      </c>
      <c r="J113" s="143">
        <f t="shared" si="3"/>
        <v>1194</v>
      </c>
    </row>
    <row r="114" spans="1:10" s="142" customFormat="1">
      <c r="A114" s="176"/>
      <c r="B114" s="162" t="s">
        <v>304</v>
      </c>
      <c r="C114" s="117" t="s">
        <v>38</v>
      </c>
      <c r="D114" s="140" t="s">
        <v>146</v>
      </c>
      <c r="E114" s="129">
        <v>42184</v>
      </c>
      <c r="F114" s="92">
        <v>0.5</v>
      </c>
      <c r="G114" s="130">
        <v>42291</v>
      </c>
      <c r="H114" s="132">
        <v>8.61</v>
      </c>
      <c r="I114" s="128">
        <v>100</v>
      </c>
      <c r="J114" s="143">
        <f t="shared" si="3"/>
        <v>861</v>
      </c>
    </row>
    <row r="115" spans="1:10" s="142" customFormat="1">
      <c r="A115" s="176"/>
      <c r="B115" s="162" t="s">
        <v>305</v>
      </c>
      <c r="C115" s="117" t="s">
        <v>38</v>
      </c>
      <c r="D115" s="133" t="s">
        <v>142</v>
      </c>
      <c r="E115" s="129">
        <v>42187</v>
      </c>
      <c r="F115" s="92">
        <v>1.5</v>
      </c>
      <c r="G115" s="130">
        <v>42290</v>
      </c>
      <c r="H115" s="132">
        <v>4.18</v>
      </c>
      <c r="I115" s="128">
        <v>100</v>
      </c>
      <c r="J115" s="143">
        <f t="shared" si="3"/>
        <v>418</v>
      </c>
    </row>
    <row r="116" spans="1:10" s="142" customFormat="1">
      <c r="A116" s="176"/>
      <c r="B116" s="162" t="s">
        <v>306</v>
      </c>
      <c r="C116" s="117" t="s">
        <v>38</v>
      </c>
      <c r="D116" s="138" t="s">
        <v>144</v>
      </c>
      <c r="E116" s="129">
        <v>42187</v>
      </c>
      <c r="F116" s="92">
        <v>1.5</v>
      </c>
      <c r="G116" s="130">
        <v>42290</v>
      </c>
      <c r="H116" s="132">
        <v>13.47</v>
      </c>
      <c r="I116" s="128">
        <v>100</v>
      </c>
      <c r="J116" s="143">
        <f t="shared" si="3"/>
        <v>1347</v>
      </c>
    </row>
    <row r="117" spans="1:10" s="142" customFormat="1">
      <c r="A117" s="176"/>
      <c r="B117" s="162" t="s">
        <v>307</v>
      </c>
      <c r="C117" s="117" t="s">
        <v>38</v>
      </c>
      <c r="D117" s="140" t="s">
        <v>146</v>
      </c>
      <c r="E117" s="129">
        <v>42187</v>
      </c>
      <c r="F117" s="92">
        <v>0.45</v>
      </c>
      <c r="G117" s="130">
        <v>42291</v>
      </c>
      <c r="H117" s="132">
        <v>9.08</v>
      </c>
      <c r="I117" s="128">
        <v>100</v>
      </c>
      <c r="J117" s="141">
        <f t="shared" si="3"/>
        <v>908</v>
      </c>
    </row>
    <row r="118" spans="1:10" s="142" customFormat="1">
      <c r="A118" s="176"/>
      <c r="B118" s="162" t="s">
        <v>308</v>
      </c>
      <c r="C118" s="117" t="s">
        <v>38</v>
      </c>
      <c r="D118" s="133" t="s">
        <v>142</v>
      </c>
      <c r="E118" s="129">
        <v>42191</v>
      </c>
      <c r="F118" s="92">
        <f>8.13/2</f>
        <v>4.0650000000000004</v>
      </c>
      <c r="G118" s="130">
        <v>42297</v>
      </c>
      <c r="H118" s="131">
        <v>25.404</v>
      </c>
      <c r="I118" s="128">
        <v>100</v>
      </c>
      <c r="J118" s="141">
        <f t="shared" si="3"/>
        <v>2540.4</v>
      </c>
    </row>
    <row r="119" spans="1:10" s="142" customFormat="1">
      <c r="A119" s="176"/>
      <c r="B119" s="162" t="s">
        <v>309</v>
      </c>
      <c r="C119" s="117" t="s">
        <v>38</v>
      </c>
      <c r="D119" s="138" t="s">
        <v>144</v>
      </c>
      <c r="E119" s="129">
        <v>42191</v>
      </c>
      <c r="F119" s="92">
        <f>8.13/2</f>
        <v>4.0650000000000004</v>
      </c>
      <c r="G119" s="130">
        <v>42297</v>
      </c>
      <c r="H119" s="131">
        <v>20.548999999999999</v>
      </c>
      <c r="I119" s="128">
        <v>100</v>
      </c>
      <c r="J119" s="141">
        <f t="shared" si="3"/>
        <v>2054.9</v>
      </c>
    </row>
    <row r="120" spans="1:10" s="142" customFormat="1">
      <c r="A120" s="176"/>
      <c r="B120" s="162" t="s">
        <v>310</v>
      </c>
      <c r="C120" s="117" t="s">
        <v>38</v>
      </c>
      <c r="D120" s="140" t="s">
        <v>146</v>
      </c>
      <c r="E120" s="129">
        <v>42191</v>
      </c>
      <c r="F120" s="92">
        <v>0.75</v>
      </c>
      <c r="G120" s="130">
        <v>42297</v>
      </c>
      <c r="H120" s="131">
        <v>43.895000000000003</v>
      </c>
      <c r="I120" s="128">
        <v>100</v>
      </c>
      <c r="J120" s="141">
        <f t="shared" si="3"/>
        <v>4389.5</v>
      </c>
    </row>
    <row r="121" spans="1:10" s="142" customFormat="1">
      <c r="A121" s="176"/>
      <c r="B121" s="162" t="s">
        <v>311</v>
      </c>
      <c r="C121" s="117" t="s">
        <v>38</v>
      </c>
      <c r="D121" s="133" t="s">
        <v>142</v>
      </c>
      <c r="E121" s="129">
        <v>42194</v>
      </c>
      <c r="F121" s="92">
        <v>1.25</v>
      </c>
      <c r="G121" s="130">
        <v>42297</v>
      </c>
      <c r="H121" s="131">
        <v>2.0369999999999999</v>
      </c>
      <c r="I121" s="128">
        <v>100</v>
      </c>
      <c r="J121" s="141">
        <f t="shared" si="3"/>
        <v>203.7</v>
      </c>
    </row>
    <row r="122" spans="1:10" s="142" customFormat="1">
      <c r="A122" s="176"/>
      <c r="B122" s="162" t="s">
        <v>312</v>
      </c>
      <c r="C122" s="117" t="s">
        <v>38</v>
      </c>
      <c r="D122" s="138" t="s">
        <v>144</v>
      </c>
      <c r="E122" s="129">
        <v>42194</v>
      </c>
      <c r="F122" s="92">
        <v>1.25</v>
      </c>
      <c r="G122" s="130">
        <v>42297</v>
      </c>
      <c r="H122" s="131">
        <v>64.769000000000005</v>
      </c>
      <c r="I122" s="128">
        <v>100</v>
      </c>
      <c r="J122" s="141">
        <f t="shared" si="3"/>
        <v>6476.9000000000005</v>
      </c>
    </row>
    <row r="123" spans="1:10" s="142" customFormat="1">
      <c r="A123" s="176"/>
      <c r="B123" s="162" t="s">
        <v>313</v>
      </c>
      <c r="C123" s="117" t="s">
        <v>38</v>
      </c>
      <c r="D123" s="140" t="s">
        <v>146</v>
      </c>
      <c r="E123" s="129">
        <v>42194</v>
      </c>
      <c r="F123" s="92">
        <v>0.65</v>
      </c>
      <c r="G123" s="130">
        <v>42297</v>
      </c>
      <c r="H123" s="131">
        <v>18.100999999999999</v>
      </c>
      <c r="I123" s="128">
        <v>100</v>
      </c>
      <c r="J123" s="141">
        <f t="shared" si="3"/>
        <v>1810.1</v>
      </c>
    </row>
    <row r="124" spans="1:10" s="142" customFormat="1">
      <c r="A124" s="176"/>
      <c r="B124" s="162" t="s">
        <v>314</v>
      </c>
      <c r="C124" s="117" t="s">
        <v>38</v>
      </c>
      <c r="D124" s="133" t="s">
        <v>142</v>
      </c>
      <c r="E124" s="129">
        <v>42200</v>
      </c>
      <c r="F124" s="92">
        <f>3.1/2</f>
        <v>1.55</v>
      </c>
      <c r="G124" s="130">
        <v>42299</v>
      </c>
      <c r="H124" s="131">
        <v>13.747</v>
      </c>
      <c r="I124" s="128">
        <v>100</v>
      </c>
      <c r="J124" s="141">
        <f t="shared" si="3"/>
        <v>1374.7</v>
      </c>
    </row>
    <row r="125" spans="1:10" s="142" customFormat="1">
      <c r="A125" s="176"/>
      <c r="B125" s="162" t="s">
        <v>315</v>
      </c>
      <c r="C125" s="117" t="s">
        <v>38</v>
      </c>
      <c r="D125" s="138" t="s">
        <v>144</v>
      </c>
      <c r="E125" s="129">
        <v>42200</v>
      </c>
      <c r="F125" s="92">
        <f>3.1/2</f>
        <v>1.55</v>
      </c>
      <c r="G125" s="130">
        <v>42299</v>
      </c>
      <c r="H125" s="135">
        <v>4.1820000000000004</v>
      </c>
      <c r="I125" s="128">
        <v>100</v>
      </c>
      <c r="J125" s="67">
        <f t="shared" si="3"/>
        <v>418.20000000000005</v>
      </c>
    </row>
    <row r="126" spans="1:10" s="142" customFormat="1">
      <c r="A126" s="176"/>
      <c r="B126" s="163" t="s">
        <v>316</v>
      </c>
      <c r="C126" s="117" t="s">
        <v>38</v>
      </c>
      <c r="D126" s="140" t="s">
        <v>146</v>
      </c>
      <c r="E126" s="129">
        <v>42200</v>
      </c>
      <c r="F126" s="92">
        <v>0.5</v>
      </c>
      <c r="G126" s="130">
        <v>42299</v>
      </c>
      <c r="H126" s="131">
        <v>13.653</v>
      </c>
      <c r="I126" s="128">
        <v>100</v>
      </c>
      <c r="J126" s="67">
        <f t="shared" si="3"/>
        <v>1365.3</v>
      </c>
    </row>
    <row r="127" spans="1:10" s="142" customFormat="1">
      <c r="A127" s="176"/>
      <c r="B127" s="163" t="s">
        <v>317</v>
      </c>
      <c r="C127" s="117" t="s">
        <v>38</v>
      </c>
      <c r="D127" s="133" t="s">
        <v>142</v>
      </c>
      <c r="E127" s="129">
        <v>42205</v>
      </c>
      <c r="F127" s="92">
        <v>1.25</v>
      </c>
      <c r="G127" s="130">
        <v>42299</v>
      </c>
      <c r="H127" s="131">
        <v>5.0780000000000003</v>
      </c>
      <c r="I127" s="128">
        <v>100</v>
      </c>
      <c r="J127" s="67">
        <f t="shared" si="3"/>
        <v>507.8</v>
      </c>
    </row>
    <row r="128" spans="1:10" s="142" customFormat="1">
      <c r="A128" s="176"/>
      <c r="B128" s="163" t="s">
        <v>318</v>
      </c>
      <c r="C128" s="117" t="s">
        <v>38</v>
      </c>
      <c r="D128" s="138" t="s">
        <v>144</v>
      </c>
      <c r="E128" s="129">
        <v>42205</v>
      </c>
      <c r="F128" s="92">
        <v>1.25</v>
      </c>
      <c r="G128" s="130">
        <v>42299</v>
      </c>
      <c r="H128" s="131">
        <v>16.536000000000001</v>
      </c>
      <c r="I128" s="128">
        <v>100</v>
      </c>
      <c r="J128" s="67">
        <f t="shared" si="3"/>
        <v>1653.6000000000001</v>
      </c>
    </row>
    <row r="129" spans="1:10" s="142" customFormat="1">
      <c r="A129" s="176"/>
      <c r="B129" s="163" t="s">
        <v>319</v>
      </c>
      <c r="C129" s="117" t="s">
        <v>38</v>
      </c>
      <c r="D129" s="140" t="s">
        <v>146</v>
      </c>
      <c r="E129" s="129">
        <v>42205</v>
      </c>
      <c r="F129" s="92">
        <v>0.7</v>
      </c>
      <c r="G129" s="130">
        <v>42299</v>
      </c>
      <c r="H129" s="131">
        <v>24.338999999999999</v>
      </c>
      <c r="I129" s="128">
        <v>100</v>
      </c>
      <c r="J129" s="67">
        <f t="shared" si="3"/>
        <v>2433.8999999999996</v>
      </c>
    </row>
    <row r="130" spans="1:10" s="142" customFormat="1">
      <c r="A130" s="176"/>
      <c r="B130" s="163" t="s">
        <v>320</v>
      </c>
      <c r="C130" s="117" t="s">
        <v>38</v>
      </c>
      <c r="D130" s="133" t="s">
        <v>142</v>
      </c>
      <c r="E130" s="129">
        <v>42208</v>
      </c>
      <c r="F130" s="92">
        <f>9.45/2</f>
        <v>4.7249999999999996</v>
      </c>
      <c r="G130" s="130">
        <v>42299</v>
      </c>
      <c r="H130" s="131">
        <v>6.8579999999999997</v>
      </c>
      <c r="I130" s="128">
        <v>100</v>
      </c>
      <c r="J130" s="67">
        <f t="shared" si="3"/>
        <v>685.8</v>
      </c>
    </row>
    <row r="131" spans="1:10" s="142" customFormat="1">
      <c r="A131" s="176"/>
      <c r="B131" s="163" t="s">
        <v>321</v>
      </c>
      <c r="C131" s="117" t="s">
        <v>38</v>
      </c>
      <c r="D131" s="138" t="s">
        <v>144</v>
      </c>
      <c r="E131" s="129">
        <v>42208</v>
      </c>
      <c r="F131" s="92">
        <f>6.35/2</f>
        <v>3.1749999999999998</v>
      </c>
      <c r="G131" s="130">
        <v>42299</v>
      </c>
      <c r="H131" s="131">
        <v>8.1639999999999997</v>
      </c>
      <c r="I131" s="128">
        <v>100</v>
      </c>
      <c r="J131" s="67">
        <f t="shared" si="3"/>
        <v>816.4</v>
      </c>
    </row>
    <row r="132" spans="1:10" s="142" customFormat="1">
      <c r="A132" s="176"/>
      <c r="B132" s="163" t="s">
        <v>322</v>
      </c>
      <c r="C132" s="117" t="s">
        <v>38</v>
      </c>
      <c r="D132" s="140" t="s">
        <v>146</v>
      </c>
      <c r="E132" s="129">
        <v>42208</v>
      </c>
      <c r="F132" s="92">
        <v>0.7</v>
      </c>
      <c r="G132" s="130">
        <v>42299</v>
      </c>
      <c r="H132" s="131">
        <v>23.088000000000001</v>
      </c>
      <c r="I132" s="128">
        <v>100</v>
      </c>
      <c r="J132" s="67">
        <f t="shared" si="3"/>
        <v>2308.8000000000002</v>
      </c>
    </row>
    <row r="133" spans="1:10" s="142" customFormat="1">
      <c r="A133" s="176"/>
      <c r="B133" s="163" t="s">
        <v>323</v>
      </c>
      <c r="C133" s="117" t="s">
        <v>38</v>
      </c>
      <c r="D133" s="133" t="s">
        <v>142</v>
      </c>
      <c r="E133" s="129">
        <v>42213</v>
      </c>
      <c r="F133" s="92">
        <v>5</v>
      </c>
      <c r="G133" s="130">
        <v>42299</v>
      </c>
      <c r="H133" s="132">
        <v>9.8360000000000003</v>
      </c>
      <c r="I133" s="128">
        <v>100</v>
      </c>
      <c r="J133" s="67">
        <f t="shared" si="3"/>
        <v>983.6</v>
      </c>
    </row>
    <row r="134" spans="1:10" s="142" customFormat="1">
      <c r="A134" s="176"/>
      <c r="B134" s="163" t="s">
        <v>324</v>
      </c>
      <c r="C134" s="117" t="s">
        <v>38</v>
      </c>
      <c r="D134" s="138" t="s">
        <v>144</v>
      </c>
      <c r="E134" s="129">
        <v>42213</v>
      </c>
      <c r="F134" s="92">
        <v>5</v>
      </c>
      <c r="G134" s="130">
        <v>42299</v>
      </c>
      <c r="H134" s="131">
        <v>24.542000000000002</v>
      </c>
      <c r="I134" s="128">
        <v>100</v>
      </c>
      <c r="J134" s="67">
        <f t="shared" si="3"/>
        <v>2454.2000000000003</v>
      </c>
    </row>
    <row r="135" spans="1:10" s="142" customFormat="1">
      <c r="A135" s="176"/>
      <c r="B135" s="163" t="s">
        <v>325</v>
      </c>
      <c r="C135" s="117" t="s">
        <v>38</v>
      </c>
      <c r="D135" s="140" t="s">
        <v>146</v>
      </c>
      <c r="E135" s="129">
        <v>42213</v>
      </c>
      <c r="F135" s="92">
        <v>0.5</v>
      </c>
      <c r="G135" s="130">
        <v>42299</v>
      </c>
      <c r="H135" s="131">
        <v>39.655999999999999</v>
      </c>
      <c r="I135" s="128">
        <v>100</v>
      </c>
      <c r="J135" s="67">
        <f t="shared" si="3"/>
        <v>3965.6</v>
      </c>
    </row>
    <row r="136" spans="1:10" s="142" customFormat="1">
      <c r="A136" s="176"/>
      <c r="B136" s="163" t="s">
        <v>326</v>
      </c>
      <c r="C136" s="117" t="s">
        <v>38</v>
      </c>
      <c r="D136" s="133" t="s">
        <v>142</v>
      </c>
      <c r="E136" s="129">
        <v>42215</v>
      </c>
      <c r="F136" s="92">
        <f>9.5</f>
        <v>9.5</v>
      </c>
      <c r="G136" s="130">
        <v>42300</v>
      </c>
      <c r="H136" s="135">
        <v>5.7279999999999998</v>
      </c>
      <c r="I136" s="128">
        <v>100</v>
      </c>
      <c r="J136" s="67">
        <f t="shared" si="3"/>
        <v>572.79999999999995</v>
      </c>
    </row>
    <row r="137" spans="1:10" s="142" customFormat="1">
      <c r="A137" s="176"/>
      <c r="B137" s="163" t="s">
        <v>327</v>
      </c>
      <c r="C137" s="117" t="s">
        <v>38</v>
      </c>
      <c r="D137" s="138" t="s">
        <v>144</v>
      </c>
      <c r="E137" s="129">
        <v>42215</v>
      </c>
      <c r="F137" s="92">
        <v>9.5</v>
      </c>
      <c r="G137" s="130">
        <v>42300</v>
      </c>
      <c r="H137" s="135">
        <v>14.407</v>
      </c>
      <c r="I137" s="128">
        <v>100</v>
      </c>
      <c r="J137" s="67">
        <f t="shared" si="3"/>
        <v>1440.7</v>
      </c>
    </row>
    <row r="138" spans="1:10" s="142" customFormat="1">
      <c r="A138" s="176"/>
      <c r="B138" s="163" t="s">
        <v>328</v>
      </c>
      <c r="C138" s="117" t="s">
        <v>38</v>
      </c>
      <c r="D138" s="140" t="s">
        <v>146</v>
      </c>
      <c r="E138" s="129">
        <v>42215</v>
      </c>
      <c r="F138" s="92">
        <v>0.5</v>
      </c>
      <c r="G138" s="130">
        <v>42300</v>
      </c>
      <c r="H138" s="135">
        <v>24.747</v>
      </c>
      <c r="I138" s="128">
        <v>100</v>
      </c>
      <c r="J138" s="67">
        <f t="shared" si="3"/>
        <v>2474.6999999999998</v>
      </c>
    </row>
    <row r="139" spans="1:10" s="142" customFormat="1">
      <c r="A139" s="176"/>
      <c r="B139" s="163" t="s">
        <v>329</v>
      </c>
      <c r="C139" s="86" t="s">
        <v>38</v>
      </c>
      <c r="D139" s="133" t="s">
        <v>142</v>
      </c>
      <c r="E139" s="134">
        <v>42219</v>
      </c>
      <c r="F139" s="92">
        <v>2</v>
      </c>
      <c r="G139" s="91">
        <v>42300</v>
      </c>
      <c r="H139" s="144">
        <v>15.154999999999999</v>
      </c>
      <c r="I139" s="92">
        <v>100</v>
      </c>
      <c r="J139" s="145">
        <f t="shared" si="3"/>
        <v>1515.5</v>
      </c>
    </row>
    <row r="140" spans="1:10" s="142" customFormat="1">
      <c r="A140" s="176"/>
      <c r="B140" s="164" t="s">
        <v>330</v>
      </c>
      <c r="C140" s="86" t="s">
        <v>38</v>
      </c>
      <c r="D140" s="138" t="s">
        <v>144</v>
      </c>
      <c r="E140" s="134">
        <v>42219</v>
      </c>
      <c r="F140" s="92">
        <v>2</v>
      </c>
      <c r="G140" s="91">
        <v>42300</v>
      </c>
      <c r="H140" s="146">
        <v>42.002000000000002</v>
      </c>
      <c r="I140" s="92">
        <v>100</v>
      </c>
      <c r="J140" s="147">
        <f t="shared" si="3"/>
        <v>4200.2</v>
      </c>
    </row>
    <row r="141" spans="1:10" s="142" customFormat="1">
      <c r="A141" s="176"/>
      <c r="B141" s="165" t="s">
        <v>331</v>
      </c>
      <c r="C141" s="86" t="s">
        <v>38</v>
      </c>
      <c r="D141" s="140" t="s">
        <v>146</v>
      </c>
      <c r="E141" s="134">
        <v>42219</v>
      </c>
      <c r="F141" s="92">
        <v>0.5</v>
      </c>
      <c r="G141" s="91">
        <v>42300</v>
      </c>
      <c r="H141" s="148">
        <v>6.1639999999999997</v>
      </c>
      <c r="I141" s="92">
        <v>100</v>
      </c>
      <c r="J141" s="149">
        <f t="shared" si="3"/>
        <v>616.4</v>
      </c>
    </row>
    <row r="142" spans="1:10" s="142" customFormat="1">
      <c r="A142" s="176"/>
      <c r="B142" s="166" t="s">
        <v>332</v>
      </c>
      <c r="C142" s="86" t="s">
        <v>38</v>
      </c>
      <c r="D142" s="133" t="s">
        <v>142</v>
      </c>
      <c r="E142" s="134">
        <v>42222</v>
      </c>
      <c r="F142" s="92">
        <v>1.5</v>
      </c>
      <c r="G142" s="91">
        <v>42300</v>
      </c>
      <c r="H142" s="150">
        <v>4.0590000000000002</v>
      </c>
      <c r="I142" s="92">
        <v>100</v>
      </c>
      <c r="J142" s="151">
        <f t="shared" si="3"/>
        <v>405.90000000000003</v>
      </c>
    </row>
    <row r="143" spans="1:10" s="142" customFormat="1">
      <c r="A143" s="176"/>
      <c r="B143" s="167" t="s">
        <v>333</v>
      </c>
      <c r="C143" s="117" t="s">
        <v>38</v>
      </c>
      <c r="D143" s="138" t="s">
        <v>144</v>
      </c>
      <c r="E143" s="129">
        <v>42222</v>
      </c>
      <c r="F143" s="92">
        <v>1.5</v>
      </c>
      <c r="G143" s="130">
        <v>42300</v>
      </c>
      <c r="H143" s="135">
        <v>15.545999999999999</v>
      </c>
      <c r="I143" s="128">
        <v>100</v>
      </c>
      <c r="J143" s="152">
        <f t="shared" si="3"/>
        <v>1554.6</v>
      </c>
    </row>
    <row r="144" spans="1:10" s="142" customFormat="1">
      <c r="A144" s="176"/>
      <c r="B144" s="167" t="s">
        <v>334</v>
      </c>
      <c r="C144" s="117" t="s">
        <v>38</v>
      </c>
      <c r="D144" s="140" t="s">
        <v>146</v>
      </c>
      <c r="E144" s="129">
        <v>42222</v>
      </c>
      <c r="F144" s="92">
        <v>0.55000000000000004</v>
      </c>
      <c r="G144" s="130">
        <v>42300</v>
      </c>
      <c r="H144" s="135">
        <v>21.361999999999998</v>
      </c>
      <c r="I144" s="128">
        <v>100</v>
      </c>
      <c r="J144" s="152">
        <f t="shared" si="3"/>
        <v>2136.1999999999998</v>
      </c>
    </row>
    <row r="145" spans="1:10" s="142" customFormat="1">
      <c r="A145" s="176"/>
      <c r="B145" s="167" t="s">
        <v>335</v>
      </c>
      <c r="C145" s="117" t="s">
        <v>38</v>
      </c>
      <c r="D145" s="133" t="s">
        <v>142</v>
      </c>
      <c r="E145" s="129">
        <v>42227</v>
      </c>
      <c r="F145" s="92">
        <f>4.75/2</f>
        <v>2.375</v>
      </c>
      <c r="G145" s="130">
        <v>42300</v>
      </c>
      <c r="H145" s="153">
        <v>8.827</v>
      </c>
      <c r="I145" s="128">
        <v>100</v>
      </c>
      <c r="J145" s="154">
        <f t="shared" si="3"/>
        <v>882.7</v>
      </c>
    </row>
    <row r="146" spans="1:10" s="142" customFormat="1">
      <c r="A146" s="176"/>
      <c r="B146" s="168" t="s">
        <v>336</v>
      </c>
      <c r="C146" s="117" t="s">
        <v>38</v>
      </c>
      <c r="D146" s="138" t="s">
        <v>144</v>
      </c>
      <c r="E146" s="129">
        <v>42227</v>
      </c>
      <c r="F146" s="92">
        <f>4.75/2</f>
        <v>2.375</v>
      </c>
      <c r="G146" s="130">
        <v>42300</v>
      </c>
      <c r="H146" s="155">
        <v>20.25</v>
      </c>
      <c r="I146" s="128">
        <v>100</v>
      </c>
      <c r="J146" s="156">
        <f t="shared" si="3"/>
        <v>2025</v>
      </c>
    </row>
    <row r="147" spans="1:10" s="142" customFormat="1" ht="15.75" thickBot="1">
      <c r="A147" s="177"/>
      <c r="B147" s="169" t="s">
        <v>337</v>
      </c>
      <c r="C147" s="75" t="s">
        <v>38</v>
      </c>
      <c r="D147" s="76" t="s">
        <v>146</v>
      </c>
      <c r="E147" s="157">
        <v>42227</v>
      </c>
      <c r="F147" s="104">
        <v>0.6</v>
      </c>
      <c r="G147" s="79">
        <v>42300</v>
      </c>
      <c r="H147" s="158">
        <v>10.412000000000001</v>
      </c>
      <c r="I147" s="159">
        <v>100</v>
      </c>
      <c r="J147" s="160">
        <f t="shared" si="3"/>
        <v>1041.2</v>
      </c>
    </row>
  </sheetData>
  <mergeCells count="3">
    <mergeCell ref="A2:A33"/>
    <mergeCell ref="A34:A99"/>
    <mergeCell ref="A100:A1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metadata</vt:lpstr>
      <vt:lpstr>Daoulex 16S</vt:lpstr>
      <vt:lpstr>Daoulex 18S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Chloe MASON</cp:lastModifiedBy>
  <cp:revision>19</cp:revision>
  <dcterms:created xsi:type="dcterms:W3CDTF">2017-02-20T16:03:13Z</dcterms:created>
  <dcterms:modified xsi:type="dcterms:W3CDTF">2024-11-04T13:49:06Z</dcterms:modified>
</cp:coreProperties>
</file>